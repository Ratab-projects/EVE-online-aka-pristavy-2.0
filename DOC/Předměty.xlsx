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Stará čísla" sheetId="2" r:id="rId6"/>
  </sheets>
  <definedNames/>
  <calcPr/>
</workbook>
</file>

<file path=xl/sharedStrings.xml><?xml version="1.0" encoding="utf-8"?>
<sst xmlns="http://schemas.openxmlformats.org/spreadsheetml/2006/main" count="494" uniqueCount="82">
  <si>
    <t>ID</t>
  </si>
  <si>
    <t>TYP</t>
  </si>
  <si>
    <t>PŘEDMĚT</t>
  </si>
  <si>
    <t>Hodnota</t>
  </si>
  <si>
    <t>POČET</t>
  </si>
  <si>
    <t>KRYSTALY</t>
  </si>
  <si>
    <t>MINERÁLY</t>
  </si>
  <si>
    <t>TITAN</t>
  </si>
  <si>
    <t>NÁKUP</t>
  </si>
  <si>
    <t>PRODEJ</t>
  </si>
  <si>
    <t>ŽIVOTY</t>
  </si>
  <si>
    <t>ÚTOK</t>
  </si>
  <si>
    <t>OBRANA</t>
  </si>
  <si>
    <t>POZNÁMKY</t>
  </si>
  <si>
    <t>Nákladní prostor</t>
  </si>
  <si>
    <t>Malý</t>
  </si>
  <si>
    <t>Kapacita +2</t>
  </si>
  <si>
    <t>Velký</t>
  </si>
  <si>
    <t>Kapacita +5</t>
  </si>
  <si>
    <t>Koeficient suroviny nákup:</t>
  </si>
  <si>
    <t>Surovina</t>
  </si>
  <si>
    <t>Krystal</t>
  </si>
  <si>
    <t>hodně</t>
  </si>
  <si>
    <t>Koeficient suroviny prodej:</t>
  </si>
  <si>
    <t>Koeficient modulu nákup:</t>
  </si>
  <si>
    <t>Koeficient modulu prodej:</t>
  </si>
  <si>
    <t>Minerál</t>
  </si>
  <si>
    <t>Výroba pomocí 10 dřepů</t>
  </si>
  <si>
    <t>Výroba pomocí 20 dřepů</t>
  </si>
  <si>
    <t>Počet týmů:</t>
  </si>
  <si>
    <t>Výroba pomocí 50 dřepů</t>
  </si>
  <si>
    <t>Počet hráčů celkem:</t>
  </si>
  <si>
    <t>Titan</t>
  </si>
  <si>
    <t>Počet hráčů na tým:</t>
  </si>
  <si>
    <t>Počet modulů na tým:</t>
  </si>
  <si>
    <t>Modul</t>
  </si>
  <si>
    <t xml:space="preserve">Krystaly </t>
  </si>
  <si>
    <t>x</t>
  </si>
  <si>
    <t>Koficient lodě za modul</t>
  </si>
  <si>
    <t>Cena za modul v lodi</t>
  </si>
  <si>
    <t xml:space="preserve">Minerály </t>
  </si>
  <si>
    <t>Koeficient licence</t>
  </si>
  <si>
    <t xml:space="preserve">Titan </t>
  </si>
  <si>
    <t>Zbraň</t>
  </si>
  <si>
    <t xml:space="preserve">Laser </t>
  </si>
  <si>
    <t xml:space="preserve">Rakety </t>
  </si>
  <si>
    <t>Plasma</t>
  </si>
  <si>
    <t xml:space="preserve">Plasma </t>
  </si>
  <si>
    <t>Obrana</t>
  </si>
  <si>
    <t>Plášť</t>
  </si>
  <si>
    <t>Antirakety</t>
  </si>
  <si>
    <t>Štíty</t>
  </si>
  <si>
    <t>Pohon</t>
  </si>
  <si>
    <t>Chemický</t>
  </si>
  <si>
    <t>1 motor</t>
  </si>
  <si>
    <t>Plazmový</t>
  </si>
  <si>
    <t>2 motory</t>
  </si>
  <si>
    <t>Iontový</t>
  </si>
  <si>
    <t>3 motory</t>
  </si>
  <si>
    <t>Jiné</t>
  </si>
  <si>
    <t>Pilotní licence</t>
  </si>
  <si>
    <t>Prospěšné práce 1. Nelze prodat, patří jednotlivci!</t>
  </si>
  <si>
    <t>Prospěšné práce 2. Přines otep dřeva ke společnému ohništi.</t>
  </si>
  <si>
    <t>Balanc na jedné noze po dobu 2 minut.</t>
  </si>
  <si>
    <t>Zadrž dech na jednu minutu.</t>
  </si>
  <si>
    <t>Znalost kosmických lodí.</t>
  </si>
  <si>
    <t>Loď</t>
  </si>
  <si>
    <t>Falcon 9</t>
  </si>
  <si>
    <t>Saturn V</t>
  </si>
  <si>
    <t>Starship</t>
  </si>
  <si>
    <t>Omega</t>
  </si>
  <si>
    <t>Prometheus x303</t>
  </si>
  <si>
    <t>Nostromo</t>
  </si>
  <si>
    <t>Discovery</t>
  </si>
  <si>
    <t>Valkýra</t>
  </si>
  <si>
    <t>Millennium Falcon</t>
  </si>
  <si>
    <t>Nisos</t>
  </si>
  <si>
    <t>Goliáš</t>
  </si>
  <si>
    <t>Kestrel</t>
  </si>
  <si>
    <t>Enterprise</t>
  </si>
  <si>
    <t>Athena</t>
  </si>
  <si>
    <t>Galactica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</si>
</sst>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sz val="10.0"/>
      <color rgb="FF000000"/>
      <name val="&quot;Google Sans Mono&quot;"/>
    </font>
  </fonts>
  <fills count="11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0B5394"/>
        <bgColor rgb="FF0B5394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Font="1"/>
    <xf borderId="1" fillId="0" fontId="3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0" fillId="6" fontId="4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2" fillId="0" fontId="3" numFmtId="0" xfId="0" applyAlignment="1" applyBorder="1" applyFont="1">
      <alignment readingOrder="0"/>
    </xf>
    <xf borderId="0" fillId="6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3" fillId="0" fontId="3" numFmtId="0" xfId="0" applyAlignment="1" applyBorder="1" applyFont="1">
      <alignment readingOrder="0"/>
    </xf>
    <xf borderId="0" fillId="0" fontId="6" numFmtId="0" xfId="0" applyAlignment="1" applyFont="1">
      <alignment readingOrder="0" vertical="bottom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4" fillId="0" fontId="3" numFmtId="0" xfId="0" applyBorder="1" applyFont="1"/>
    <xf borderId="0" fillId="0" fontId="3" numFmtId="0" xfId="0" applyFont="1"/>
    <xf borderId="0" fillId="7" fontId="4" numFmtId="0" xfId="0" applyAlignment="1" applyFill="1" applyFont="1">
      <alignment readingOrder="0"/>
    </xf>
    <xf borderId="0" fillId="8" fontId="7" numFmtId="0" xfId="0" applyFill="1" applyFont="1"/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0" fillId="9" fontId="4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9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8.5"/>
    <col customWidth="1" min="3" max="3" width="14.63"/>
    <col customWidth="1" min="4" max="5" width="8.25"/>
    <col customWidth="1" min="6" max="6" width="10.88"/>
    <col customWidth="1" min="7" max="7" width="10.25"/>
    <col customWidth="1" min="8" max="8" width="7.63"/>
    <col customWidth="1" min="9" max="9" width="8.88"/>
    <col customWidth="1" min="10" max="10" width="8.63"/>
    <col customWidth="1" min="11" max="11" width="7.0"/>
    <col customWidth="1" min="12" max="12" width="5.75"/>
    <col customWidth="1" min="13" max="13" width="8.38"/>
    <col customWidth="1" min="14" max="14" width="32.13"/>
    <col customWidth="1" min="15" max="15" width="21.5"/>
    <col customWidth="1" min="16" max="16" width="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</row>
    <row r="2">
      <c r="A2" s="7">
        <v>1.0</v>
      </c>
      <c r="B2" s="7" t="s">
        <v>14</v>
      </c>
      <c r="C2" s="8" t="s">
        <v>15</v>
      </c>
      <c r="D2" s="9"/>
      <c r="E2" s="9">
        <f>$P$8*4+2</f>
        <v>26</v>
      </c>
      <c r="F2" s="9">
        <v>0.0</v>
      </c>
      <c r="G2" s="9">
        <v>4.0</v>
      </c>
      <c r="H2" s="9">
        <v>0.0</v>
      </c>
      <c r="I2" s="10">
        <f t="shared" ref="I2:I3" si="1">_xlfn.FLOOR.MATH($P$5*$P$3*SUM(F2:H2))</f>
        <v>12</v>
      </c>
      <c r="J2" s="10">
        <f t="shared" ref="J2:J3" si="2">_xlfn.FLOOR.MATH($P$6*SUM(F2:H2))</f>
        <v>3</v>
      </c>
      <c r="L2" s="11"/>
      <c r="M2" s="11"/>
      <c r="N2" s="7" t="s">
        <v>16</v>
      </c>
    </row>
    <row r="3">
      <c r="A3" s="7">
        <v>2.0</v>
      </c>
      <c r="B3" s="7" t="s">
        <v>14</v>
      </c>
      <c r="C3" s="8" t="s">
        <v>17</v>
      </c>
      <c r="D3" s="9"/>
      <c r="E3" s="9">
        <f>$P$8*P12</f>
        <v>24</v>
      </c>
      <c r="F3" s="9">
        <v>2.0</v>
      </c>
      <c r="G3" s="9">
        <v>7.0</v>
      </c>
      <c r="H3" s="9">
        <v>4.0</v>
      </c>
      <c r="I3" s="10">
        <f t="shared" si="1"/>
        <v>39</v>
      </c>
      <c r="J3" s="10">
        <f t="shared" si="2"/>
        <v>10</v>
      </c>
      <c r="L3" s="11"/>
      <c r="M3" s="11"/>
      <c r="N3" s="7" t="s">
        <v>18</v>
      </c>
      <c r="O3" s="12" t="s">
        <v>19</v>
      </c>
      <c r="P3" s="12">
        <v>3.0</v>
      </c>
    </row>
    <row r="4">
      <c r="A4" s="7">
        <v>3.0</v>
      </c>
      <c r="B4" s="13" t="s">
        <v>20</v>
      </c>
      <c r="C4" s="14" t="s">
        <v>21</v>
      </c>
      <c r="D4" s="15"/>
      <c r="E4" s="16" t="s">
        <v>22</v>
      </c>
      <c r="F4" s="17">
        <v>1.0</v>
      </c>
      <c r="G4" s="16">
        <v>0.0</v>
      </c>
      <c r="H4" s="16">
        <v>0.0</v>
      </c>
      <c r="I4" s="10">
        <f t="shared" ref="I4:I12" si="3">$P$3*SUM(F4:H4)</f>
        <v>3</v>
      </c>
      <c r="J4" s="11">
        <f t="shared" ref="J4:J12" si="4">$P$4*SUM(F4:H4)</f>
        <v>1</v>
      </c>
      <c r="K4" s="18"/>
      <c r="L4" s="10"/>
      <c r="M4" s="10"/>
      <c r="O4" s="19" t="s">
        <v>23</v>
      </c>
      <c r="P4" s="19">
        <v>1.0</v>
      </c>
    </row>
    <row r="5">
      <c r="A5" s="7">
        <v>4.0</v>
      </c>
      <c r="B5" s="13" t="s">
        <v>20</v>
      </c>
      <c r="C5" s="20" t="s">
        <v>21</v>
      </c>
      <c r="D5" s="15"/>
      <c r="E5" s="16" t="s">
        <v>22</v>
      </c>
      <c r="F5" s="21">
        <v>2.0</v>
      </c>
      <c r="G5" s="16">
        <v>0.0</v>
      </c>
      <c r="H5" s="16">
        <v>0.0</v>
      </c>
      <c r="I5" s="10">
        <f t="shared" si="3"/>
        <v>6</v>
      </c>
      <c r="J5" s="11">
        <f t="shared" si="4"/>
        <v>2</v>
      </c>
      <c r="K5" s="18"/>
      <c r="L5" s="10"/>
      <c r="M5" s="10"/>
      <c r="O5" s="19" t="s">
        <v>24</v>
      </c>
      <c r="P5" s="19">
        <v>1.0</v>
      </c>
    </row>
    <row r="6">
      <c r="A6" s="7">
        <v>5.0</v>
      </c>
      <c r="B6" s="7" t="s">
        <v>20</v>
      </c>
      <c r="C6" s="14" t="s">
        <v>21</v>
      </c>
      <c r="D6" s="9"/>
      <c r="E6" s="16" t="s">
        <v>22</v>
      </c>
      <c r="F6" s="9">
        <v>5.0</v>
      </c>
      <c r="G6" s="16">
        <v>0.0</v>
      </c>
      <c r="H6" s="16">
        <v>0.0</v>
      </c>
      <c r="I6" s="10">
        <f t="shared" si="3"/>
        <v>15</v>
      </c>
      <c r="J6" s="11">
        <f t="shared" si="4"/>
        <v>5</v>
      </c>
      <c r="L6" s="11"/>
      <c r="M6" s="11"/>
      <c r="O6" s="22" t="s">
        <v>25</v>
      </c>
      <c r="P6" s="22">
        <v>0.8</v>
      </c>
    </row>
    <row r="7">
      <c r="A7" s="7">
        <v>6.0</v>
      </c>
      <c r="B7" s="13" t="s">
        <v>20</v>
      </c>
      <c r="C7" s="20" t="s">
        <v>26</v>
      </c>
      <c r="D7" s="15"/>
      <c r="E7" s="16" t="s">
        <v>22</v>
      </c>
      <c r="F7" s="16">
        <v>0.0</v>
      </c>
      <c r="G7" s="17">
        <v>1.0</v>
      </c>
      <c r="H7" s="16">
        <v>0.0</v>
      </c>
      <c r="I7" s="10">
        <f t="shared" si="3"/>
        <v>3</v>
      </c>
      <c r="J7" s="11">
        <f t="shared" si="4"/>
        <v>1</v>
      </c>
      <c r="N7" s="13" t="s">
        <v>27</v>
      </c>
    </row>
    <row r="8">
      <c r="A8" s="7">
        <v>7.0</v>
      </c>
      <c r="B8" s="13" t="s">
        <v>20</v>
      </c>
      <c r="C8" s="20" t="s">
        <v>26</v>
      </c>
      <c r="D8" s="15"/>
      <c r="E8" s="16" t="s">
        <v>22</v>
      </c>
      <c r="F8" s="16">
        <v>0.0</v>
      </c>
      <c r="G8" s="21">
        <v>2.0</v>
      </c>
      <c r="H8" s="16">
        <v>0.0</v>
      </c>
      <c r="I8" s="10">
        <f t="shared" si="3"/>
        <v>6</v>
      </c>
      <c r="J8" s="11">
        <f t="shared" si="4"/>
        <v>2</v>
      </c>
      <c r="N8" s="23" t="s">
        <v>28</v>
      </c>
      <c r="O8" s="12" t="s">
        <v>29</v>
      </c>
      <c r="P8" s="24">
        <v>6.0</v>
      </c>
    </row>
    <row r="9">
      <c r="A9" s="7">
        <v>8.0</v>
      </c>
      <c r="B9" s="7" t="s">
        <v>20</v>
      </c>
      <c r="C9" s="14" t="s">
        <v>26</v>
      </c>
      <c r="D9" s="9"/>
      <c r="E9" s="16" t="s">
        <v>22</v>
      </c>
      <c r="F9" s="16">
        <v>0.0</v>
      </c>
      <c r="G9" s="9">
        <v>5.0</v>
      </c>
      <c r="H9" s="16">
        <v>0.0</v>
      </c>
      <c r="I9" s="10">
        <f t="shared" si="3"/>
        <v>15</v>
      </c>
      <c r="J9" s="11">
        <f t="shared" si="4"/>
        <v>5</v>
      </c>
      <c r="N9" s="7" t="s">
        <v>30</v>
      </c>
      <c r="O9" s="22" t="s">
        <v>31</v>
      </c>
      <c r="P9" s="25">
        <v>32.0</v>
      </c>
    </row>
    <row r="10">
      <c r="A10" s="7">
        <v>9.0</v>
      </c>
      <c r="B10" s="7" t="s">
        <v>20</v>
      </c>
      <c r="C10" s="14" t="s">
        <v>32</v>
      </c>
      <c r="D10" s="9"/>
      <c r="E10" s="16" t="s">
        <v>22</v>
      </c>
      <c r="F10" s="16">
        <v>0.0</v>
      </c>
      <c r="G10" s="16">
        <v>0.0</v>
      </c>
      <c r="H10" s="9">
        <v>1.0</v>
      </c>
      <c r="I10" s="10">
        <f t="shared" si="3"/>
        <v>3</v>
      </c>
      <c r="J10" s="11">
        <f t="shared" si="4"/>
        <v>1</v>
      </c>
      <c r="K10" s="11"/>
      <c r="L10" s="11"/>
      <c r="M10" s="11"/>
    </row>
    <row r="11">
      <c r="A11" s="7">
        <v>10.0</v>
      </c>
      <c r="B11" s="7" t="s">
        <v>20</v>
      </c>
      <c r="C11" s="14" t="s">
        <v>32</v>
      </c>
      <c r="D11" s="9"/>
      <c r="E11" s="16" t="s">
        <v>22</v>
      </c>
      <c r="F11" s="16">
        <v>0.0</v>
      </c>
      <c r="G11" s="16">
        <v>0.0</v>
      </c>
      <c r="H11" s="9">
        <v>2.0</v>
      </c>
      <c r="I11" s="10">
        <f t="shared" si="3"/>
        <v>6</v>
      </c>
      <c r="J11" s="11">
        <f t="shared" si="4"/>
        <v>2</v>
      </c>
      <c r="K11" s="11"/>
      <c r="L11" s="11"/>
      <c r="M11" s="11"/>
      <c r="O11" s="12" t="s">
        <v>33</v>
      </c>
      <c r="P11" s="26">
        <f>_xlfn.FLOOR.MATH(Q11)</f>
        <v>5</v>
      </c>
      <c r="Q11" s="27">
        <f>P9/P8</f>
        <v>5.333333333</v>
      </c>
    </row>
    <row r="12">
      <c r="A12" s="7">
        <v>11.0</v>
      </c>
      <c r="B12" s="7" t="s">
        <v>20</v>
      </c>
      <c r="C12" s="14" t="s">
        <v>32</v>
      </c>
      <c r="D12" s="9"/>
      <c r="E12" s="16" t="s">
        <v>22</v>
      </c>
      <c r="F12" s="16">
        <v>0.0</v>
      </c>
      <c r="G12" s="16">
        <v>0.0</v>
      </c>
      <c r="H12" s="9">
        <v>5.0</v>
      </c>
      <c r="I12" s="10">
        <f t="shared" si="3"/>
        <v>15</v>
      </c>
      <c r="J12" s="11">
        <f t="shared" si="4"/>
        <v>5</v>
      </c>
      <c r="K12" s="11"/>
      <c r="L12" s="11"/>
      <c r="M12" s="11"/>
      <c r="O12" s="22" t="s">
        <v>34</v>
      </c>
      <c r="P12" s="25">
        <v>4.0</v>
      </c>
    </row>
    <row r="13">
      <c r="A13" s="7">
        <v>12.0</v>
      </c>
      <c r="B13" s="7" t="s">
        <v>35</v>
      </c>
      <c r="C13" s="28" t="s">
        <v>36</v>
      </c>
      <c r="D13" s="9">
        <v>2.0</v>
      </c>
      <c r="E13" s="9">
        <f t="shared" ref="E13:E21" si="5">$P$12*$P$11/2+D13</f>
        <v>12</v>
      </c>
      <c r="F13" s="9">
        <v>0.0</v>
      </c>
      <c r="G13" s="9">
        <v>5.0</v>
      </c>
      <c r="H13" s="9">
        <v>3.0</v>
      </c>
      <c r="I13" s="29">
        <f>_xlfn.FLOOR.MATH($P$5*$P$3*SUM(F13:H13))</f>
        <v>24</v>
      </c>
      <c r="J13" s="10">
        <f t="shared" ref="J13:J41" si="6">_xlfn.FLOOR.MATH($P$6*SUM(F13:H13))</f>
        <v>6</v>
      </c>
      <c r="K13" s="11"/>
      <c r="L13" s="11"/>
      <c r="M13" s="11"/>
    </row>
    <row r="14">
      <c r="A14" s="7">
        <v>13.0</v>
      </c>
      <c r="B14" s="7" t="s">
        <v>35</v>
      </c>
      <c r="C14" s="28" t="s">
        <v>36</v>
      </c>
      <c r="D14" s="9">
        <v>3.0</v>
      </c>
      <c r="E14" s="9">
        <f t="shared" si="5"/>
        <v>13</v>
      </c>
      <c r="F14" s="9">
        <v>3.0</v>
      </c>
      <c r="G14" s="9">
        <v>7.0</v>
      </c>
      <c r="H14" s="9">
        <v>5.0</v>
      </c>
      <c r="I14" s="9" t="s">
        <v>37</v>
      </c>
      <c r="J14" s="10">
        <f t="shared" si="6"/>
        <v>12</v>
      </c>
      <c r="K14" s="11"/>
      <c r="L14" s="11"/>
      <c r="M14" s="11"/>
      <c r="O14" s="12" t="s">
        <v>38</v>
      </c>
      <c r="P14" s="24">
        <v>1.2</v>
      </c>
    </row>
    <row r="15">
      <c r="A15" s="7">
        <v>14.0</v>
      </c>
      <c r="B15" s="7" t="s">
        <v>35</v>
      </c>
      <c r="C15" s="28" t="s">
        <v>36</v>
      </c>
      <c r="D15" s="9">
        <v>4.0</v>
      </c>
      <c r="E15" s="9">
        <f t="shared" si="5"/>
        <v>14</v>
      </c>
      <c r="F15" s="9">
        <v>4.0</v>
      </c>
      <c r="G15" s="9">
        <v>20.0</v>
      </c>
      <c r="H15" s="9">
        <v>6.0</v>
      </c>
      <c r="I15" s="9" t="s">
        <v>37</v>
      </c>
      <c r="J15" s="10">
        <f t="shared" si="6"/>
        <v>24</v>
      </c>
      <c r="K15" s="11"/>
      <c r="L15" s="11"/>
      <c r="M15" s="11"/>
      <c r="O15" s="22" t="s">
        <v>39</v>
      </c>
      <c r="P15" s="25">
        <v>1.0</v>
      </c>
    </row>
    <row r="16">
      <c r="A16" s="7">
        <v>15.0</v>
      </c>
      <c r="B16" s="7" t="s">
        <v>35</v>
      </c>
      <c r="C16" s="28" t="s">
        <v>40</v>
      </c>
      <c r="D16" s="9">
        <v>1.0</v>
      </c>
      <c r="E16" s="9">
        <f t="shared" si="5"/>
        <v>11</v>
      </c>
      <c r="F16" s="9">
        <v>1.0</v>
      </c>
      <c r="G16" s="9">
        <v>0.0</v>
      </c>
      <c r="H16" s="9">
        <v>4.0</v>
      </c>
      <c r="I16" s="29">
        <f>_xlfn.FLOOR.MATH($P$5*$P$3*SUM(F16:H16))</f>
        <v>15</v>
      </c>
      <c r="J16" s="10">
        <f t="shared" si="6"/>
        <v>4</v>
      </c>
      <c r="K16" s="11"/>
      <c r="L16" s="11"/>
      <c r="M16" s="11"/>
    </row>
    <row r="17">
      <c r="A17" s="7">
        <v>16.0</v>
      </c>
      <c r="B17" s="7" t="s">
        <v>35</v>
      </c>
      <c r="C17" s="28" t="s">
        <v>40</v>
      </c>
      <c r="D17" s="9">
        <v>3.0</v>
      </c>
      <c r="E17" s="9">
        <f t="shared" si="5"/>
        <v>13</v>
      </c>
      <c r="F17" s="9">
        <v>2.0</v>
      </c>
      <c r="G17" s="9">
        <v>5.0</v>
      </c>
      <c r="H17" s="9">
        <v>8.0</v>
      </c>
      <c r="I17" s="9" t="s">
        <v>37</v>
      </c>
      <c r="J17" s="10">
        <f t="shared" si="6"/>
        <v>12</v>
      </c>
      <c r="K17" s="11"/>
      <c r="L17" s="11"/>
      <c r="M17" s="11"/>
      <c r="O17" s="30" t="s">
        <v>41</v>
      </c>
      <c r="P17" s="31">
        <v>1.8</v>
      </c>
    </row>
    <row r="18">
      <c r="A18" s="7">
        <v>17.0</v>
      </c>
      <c r="B18" s="7" t="s">
        <v>35</v>
      </c>
      <c r="C18" s="28" t="s">
        <v>40</v>
      </c>
      <c r="D18" s="9">
        <v>5.0</v>
      </c>
      <c r="E18" s="9">
        <f t="shared" si="5"/>
        <v>15</v>
      </c>
      <c r="F18" s="9">
        <v>5.0</v>
      </c>
      <c r="G18" s="9">
        <v>18.0</v>
      </c>
      <c r="H18" s="9">
        <v>22.0</v>
      </c>
      <c r="I18" s="9" t="s">
        <v>37</v>
      </c>
      <c r="J18" s="10">
        <f t="shared" si="6"/>
        <v>36</v>
      </c>
      <c r="K18" s="11"/>
      <c r="L18" s="11"/>
      <c r="M18" s="11"/>
    </row>
    <row r="19">
      <c r="A19" s="7">
        <v>18.0</v>
      </c>
      <c r="B19" s="7" t="s">
        <v>35</v>
      </c>
      <c r="C19" s="28" t="s">
        <v>42</v>
      </c>
      <c r="D19" s="9">
        <v>1.0</v>
      </c>
      <c r="E19" s="9">
        <f t="shared" si="5"/>
        <v>11</v>
      </c>
      <c r="F19" s="9">
        <v>4.0</v>
      </c>
      <c r="G19" s="9">
        <v>1.0</v>
      </c>
      <c r="H19" s="9">
        <v>0.0</v>
      </c>
      <c r="I19" s="29">
        <f>_xlfn.FLOOR.MATH($P$5*$P$3*SUM(F19:H19))</f>
        <v>15</v>
      </c>
      <c r="J19" s="10">
        <f t="shared" si="6"/>
        <v>4</v>
      </c>
      <c r="K19" s="11"/>
      <c r="L19" s="11"/>
      <c r="M19" s="11"/>
    </row>
    <row r="20">
      <c r="A20" s="7">
        <v>19.0</v>
      </c>
      <c r="B20" s="7" t="s">
        <v>35</v>
      </c>
      <c r="C20" s="28" t="s">
        <v>42</v>
      </c>
      <c r="D20" s="9">
        <v>2.0</v>
      </c>
      <c r="E20" s="9">
        <f t="shared" si="5"/>
        <v>12</v>
      </c>
      <c r="F20" s="9">
        <v>5.0</v>
      </c>
      <c r="G20" s="9">
        <v>2.0</v>
      </c>
      <c r="H20" s="9">
        <v>0.0</v>
      </c>
      <c r="I20" s="9" t="s">
        <v>37</v>
      </c>
      <c r="J20" s="10">
        <f t="shared" si="6"/>
        <v>5</v>
      </c>
      <c r="K20" s="11"/>
      <c r="L20" s="11"/>
      <c r="M20" s="11"/>
    </row>
    <row r="21">
      <c r="A21" s="7">
        <v>20.0</v>
      </c>
      <c r="B21" s="7" t="s">
        <v>35</v>
      </c>
      <c r="C21" s="28" t="s">
        <v>42</v>
      </c>
      <c r="D21" s="9">
        <v>5.0</v>
      </c>
      <c r="E21" s="9">
        <f t="shared" si="5"/>
        <v>15</v>
      </c>
      <c r="F21" s="9">
        <v>25.0</v>
      </c>
      <c r="G21" s="9">
        <v>13.0</v>
      </c>
      <c r="H21" s="9">
        <v>7.0</v>
      </c>
      <c r="I21" s="9" t="s">
        <v>37</v>
      </c>
      <c r="J21" s="10">
        <f t="shared" si="6"/>
        <v>36</v>
      </c>
      <c r="K21" s="11"/>
      <c r="L21" s="11"/>
      <c r="M21" s="11"/>
    </row>
    <row r="22">
      <c r="A22" s="7">
        <v>21.0</v>
      </c>
      <c r="B22" s="7" t="s">
        <v>43</v>
      </c>
      <c r="C22" s="32" t="s">
        <v>44</v>
      </c>
      <c r="D22" s="9">
        <v>1.0</v>
      </c>
      <c r="E22" s="9">
        <v>6.0</v>
      </c>
      <c r="F22" s="9">
        <v>4.0</v>
      </c>
      <c r="G22" s="9">
        <v>0.0</v>
      </c>
      <c r="H22" s="9">
        <v>1.0</v>
      </c>
      <c r="I22" s="9" t="s">
        <v>37</v>
      </c>
      <c r="J22" s="10">
        <f t="shared" si="6"/>
        <v>4</v>
      </c>
      <c r="K22" s="11"/>
      <c r="L22" s="9">
        <v>1.0</v>
      </c>
      <c r="M22" s="11"/>
    </row>
    <row r="23">
      <c r="A23" s="7">
        <v>22.0</v>
      </c>
      <c r="B23" s="7" t="s">
        <v>43</v>
      </c>
      <c r="C23" s="32" t="s">
        <v>44</v>
      </c>
      <c r="D23" s="9">
        <v>2.0</v>
      </c>
      <c r="E23" s="9">
        <v>8.0</v>
      </c>
      <c r="F23" s="9">
        <v>5.0</v>
      </c>
      <c r="G23" s="9">
        <v>1.0</v>
      </c>
      <c r="H23" s="9">
        <v>1.0</v>
      </c>
      <c r="I23" s="9" t="s">
        <v>37</v>
      </c>
      <c r="J23" s="10">
        <f t="shared" si="6"/>
        <v>5</v>
      </c>
      <c r="K23" s="11"/>
      <c r="L23" s="9">
        <v>2.0</v>
      </c>
      <c r="M23" s="11"/>
    </row>
    <row r="24">
      <c r="A24" s="7">
        <v>23.0</v>
      </c>
      <c r="B24" s="7" t="s">
        <v>43</v>
      </c>
      <c r="C24" s="32" t="s">
        <v>44</v>
      </c>
      <c r="D24" s="9">
        <v>3.0</v>
      </c>
      <c r="E24" s="9">
        <v>12.0</v>
      </c>
      <c r="F24" s="9">
        <v>12.0</v>
      </c>
      <c r="G24" s="9">
        <v>2.0</v>
      </c>
      <c r="H24" s="9">
        <v>3.0</v>
      </c>
      <c r="I24" s="9" t="s">
        <v>37</v>
      </c>
      <c r="J24" s="10">
        <f t="shared" si="6"/>
        <v>13</v>
      </c>
      <c r="K24" s="11"/>
      <c r="L24" s="9">
        <v>3.0</v>
      </c>
      <c r="M24" s="11"/>
    </row>
    <row r="25">
      <c r="A25" s="7">
        <v>24.0</v>
      </c>
      <c r="B25" s="7" t="s">
        <v>43</v>
      </c>
      <c r="C25" s="32" t="s">
        <v>45</v>
      </c>
      <c r="D25" s="9">
        <v>1.0</v>
      </c>
      <c r="E25" s="9">
        <v>6.0</v>
      </c>
      <c r="F25" s="9">
        <v>6.0</v>
      </c>
      <c r="G25" s="9">
        <v>0.0</v>
      </c>
      <c r="H25" s="9">
        <v>0.0</v>
      </c>
      <c r="I25" s="9" t="s">
        <v>37</v>
      </c>
      <c r="J25" s="10">
        <f t="shared" si="6"/>
        <v>4</v>
      </c>
      <c r="K25" s="11"/>
      <c r="L25" s="9">
        <v>1.0</v>
      </c>
      <c r="M25" s="11"/>
    </row>
    <row r="26">
      <c r="A26" s="7">
        <v>25.0</v>
      </c>
      <c r="B26" s="7" t="s">
        <v>43</v>
      </c>
      <c r="C26" s="32" t="s">
        <v>45</v>
      </c>
      <c r="D26" s="9">
        <v>2.0</v>
      </c>
      <c r="E26" s="9">
        <v>8.0</v>
      </c>
      <c r="F26" s="9">
        <v>9.0</v>
      </c>
      <c r="G26" s="9">
        <v>0.0</v>
      </c>
      <c r="H26" s="9">
        <v>1.0</v>
      </c>
      <c r="I26" s="9" t="s">
        <v>37</v>
      </c>
      <c r="J26" s="10">
        <f t="shared" si="6"/>
        <v>8</v>
      </c>
      <c r="K26" s="11"/>
      <c r="L26" s="9">
        <v>2.0</v>
      </c>
      <c r="M26" s="11"/>
    </row>
    <row r="27">
      <c r="A27" s="7">
        <v>26.0</v>
      </c>
      <c r="B27" s="7" t="s">
        <v>43</v>
      </c>
      <c r="C27" s="32" t="s">
        <v>45</v>
      </c>
      <c r="D27" s="9">
        <v>3.0</v>
      </c>
      <c r="E27" s="9">
        <v>12.0</v>
      </c>
      <c r="F27" s="9">
        <v>16.0</v>
      </c>
      <c r="G27" s="9">
        <v>1.0</v>
      </c>
      <c r="H27" s="9">
        <v>3.0</v>
      </c>
      <c r="I27" s="9" t="s">
        <v>37</v>
      </c>
      <c r="J27" s="10">
        <f t="shared" si="6"/>
        <v>16</v>
      </c>
      <c r="K27" s="11"/>
      <c r="L27" s="9">
        <v>3.0</v>
      </c>
      <c r="M27" s="11"/>
    </row>
    <row r="28">
      <c r="A28" s="7">
        <v>27.0</v>
      </c>
      <c r="B28" s="7" t="s">
        <v>43</v>
      </c>
      <c r="C28" s="32" t="s">
        <v>46</v>
      </c>
      <c r="D28" s="9">
        <v>1.0</v>
      </c>
      <c r="E28" s="9">
        <v>6.0</v>
      </c>
      <c r="F28" s="9">
        <v>1.0</v>
      </c>
      <c r="G28" s="9">
        <v>1.0</v>
      </c>
      <c r="H28" s="9">
        <v>4.0</v>
      </c>
      <c r="I28" s="9" t="s">
        <v>37</v>
      </c>
      <c r="J28" s="10">
        <f t="shared" si="6"/>
        <v>4</v>
      </c>
      <c r="K28" s="11"/>
      <c r="L28" s="9">
        <v>1.0</v>
      </c>
      <c r="M28" s="11"/>
    </row>
    <row r="29">
      <c r="A29" s="7">
        <v>28.0</v>
      </c>
      <c r="B29" s="7" t="s">
        <v>43</v>
      </c>
      <c r="C29" s="32" t="s">
        <v>46</v>
      </c>
      <c r="D29" s="9">
        <v>2.0</v>
      </c>
      <c r="E29" s="9">
        <v>8.0</v>
      </c>
      <c r="F29" s="9">
        <v>2.0</v>
      </c>
      <c r="G29" s="9">
        <v>2.0</v>
      </c>
      <c r="H29" s="9">
        <v>8.0</v>
      </c>
      <c r="I29" s="9" t="s">
        <v>37</v>
      </c>
      <c r="J29" s="10">
        <f t="shared" si="6"/>
        <v>9</v>
      </c>
      <c r="K29" s="11"/>
      <c r="L29" s="9">
        <v>2.0</v>
      </c>
      <c r="M29" s="11"/>
    </row>
    <row r="30">
      <c r="A30" s="7">
        <v>29.0</v>
      </c>
      <c r="B30" s="7" t="s">
        <v>43</v>
      </c>
      <c r="C30" s="32" t="s">
        <v>47</v>
      </c>
      <c r="D30" s="9">
        <v>3.0</v>
      </c>
      <c r="E30" s="9">
        <v>12.0</v>
      </c>
      <c r="F30" s="9">
        <v>6.0</v>
      </c>
      <c r="G30" s="9">
        <v>5.0</v>
      </c>
      <c r="H30" s="9">
        <v>15.0</v>
      </c>
      <c r="I30" s="9" t="s">
        <v>37</v>
      </c>
      <c r="J30" s="10">
        <f t="shared" si="6"/>
        <v>20</v>
      </c>
      <c r="K30" s="11"/>
      <c r="L30" s="9">
        <v>3.0</v>
      </c>
      <c r="M30" s="11"/>
    </row>
    <row r="31">
      <c r="A31" s="7">
        <v>30.0</v>
      </c>
      <c r="B31" s="7" t="s">
        <v>48</v>
      </c>
      <c r="C31" s="14" t="s">
        <v>49</v>
      </c>
      <c r="D31" s="9">
        <v>1.0</v>
      </c>
      <c r="E31" s="9">
        <f t="shared" ref="E31:E35" si="7">_xlfn.FLOOR.MATH(1.5*E22)</f>
        <v>9</v>
      </c>
      <c r="F31" s="9">
        <v>0.0</v>
      </c>
      <c r="G31" s="9">
        <v>1.0</v>
      </c>
      <c r="H31" s="9">
        <v>4.0</v>
      </c>
      <c r="I31" s="29">
        <f t="shared" ref="I31:I41" si="8">_xlfn.FLOOR.MATH($P$5*$P$3*SUM(F31:H31))</f>
        <v>15</v>
      </c>
      <c r="J31" s="10">
        <f t="shared" si="6"/>
        <v>4</v>
      </c>
      <c r="K31" s="11"/>
      <c r="L31" s="11"/>
      <c r="M31" s="9">
        <v>1.0</v>
      </c>
    </row>
    <row r="32">
      <c r="A32" s="7">
        <v>31.0</v>
      </c>
      <c r="B32" s="7" t="s">
        <v>48</v>
      </c>
      <c r="C32" s="14" t="s">
        <v>49</v>
      </c>
      <c r="D32" s="9">
        <v>2.0</v>
      </c>
      <c r="E32" s="9">
        <f t="shared" si="7"/>
        <v>12</v>
      </c>
      <c r="F32" s="9">
        <v>0.0</v>
      </c>
      <c r="G32" s="9">
        <v>2.0</v>
      </c>
      <c r="H32" s="9">
        <v>7.0</v>
      </c>
      <c r="I32" s="29">
        <f t="shared" si="8"/>
        <v>27</v>
      </c>
      <c r="J32" s="10">
        <f t="shared" si="6"/>
        <v>7</v>
      </c>
      <c r="K32" s="11"/>
      <c r="L32" s="11"/>
      <c r="M32" s="9">
        <v>2.0</v>
      </c>
    </row>
    <row r="33">
      <c r="A33" s="7">
        <v>32.0</v>
      </c>
      <c r="B33" s="7" t="s">
        <v>48</v>
      </c>
      <c r="C33" s="14" t="s">
        <v>49</v>
      </c>
      <c r="D33" s="9">
        <v>3.0</v>
      </c>
      <c r="E33" s="9">
        <f t="shared" si="7"/>
        <v>18</v>
      </c>
      <c r="F33" s="9">
        <v>7.0</v>
      </c>
      <c r="G33" s="9">
        <v>3.0</v>
      </c>
      <c r="H33" s="9">
        <v>12.0</v>
      </c>
      <c r="I33" s="29">
        <f t="shared" si="8"/>
        <v>66</v>
      </c>
      <c r="J33" s="10">
        <f t="shared" si="6"/>
        <v>17</v>
      </c>
      <c r="K33" s="11"/>
      <c r="L33" s="11"/>
      <c r="M33" s="9">
        <v>3.0</v>
      </c>
    </row>
    <row r="34">
      <c r="A34" s="7">
        <v>33.0</v>
      </c>
      <c r="B34" s="7" t="s">
        <v>48</v>
      </c>
      <c r="C34" s="14" t="s">
        <v>50</v>
      </c>
      <c r="D34" s="9">
        <v>1.0</v>
      </c>
      <c r="E34" s="9">
        <f t="shared" si="7"/>
        <v>9</v>
      </c>
      <c r="F34" s="9">
        <v>0.0</v>
      </c>
      <c r="G34" s="9">
        <v>3.0</v>
      </c>
      <c r="H34" s="9">
        <v>0.0</v>
      </c>
      <c r="I34" s="29">
        <f t="shared" si="8"/>
        <v>9</v>
      </c>
      <c r="J34" s="10">
        <f t="shared" si="6"/>
        <v>2</v>
      </c>
      <c r="K34" s="11"/>
      <c r="L34" s="11"/>
      <c r="M34" s="9">
        <v>1.0</v>
      </c>
    </row>
    <row r="35">
      <c r="A35" s="7">
        <v>34.0</v>
      </c>
      <c r="B35" s="7" t="s">
        <v>48</v>
      </c>
      <c r="C35" s="14" t="s">
        <v>50</v>
      </c>
      <c r="D35" s="9">
        <v>2.0</v>
      </c>
      <c r="E35" s="9">
        <f t="shared" si="7"/>
        <v>12</v>
      </c>
      <c r="F35" s="9">
        <v>2.0</v>
      </c>
      <c r="G35" s="9">
        <v>7.0</v>
      </c>
      <c r="H35" s="9">
        <v>2.0</v>
      </c>
      <c r="I35" s="29">
        <f t="shared" si="8"/>
        <v>33</v>
      </c>
      <c r="J35" s="10">
        <f t="shared" si="6"/>
        <v>8</v>
      </c>
      <c r="K35" s="11"/>
      <c r="L35" s="11"/>
      <c r="M35" s="9">
        <v>2.0</v>
      </c>
    </row>
    <row r="36">
      <c r="A36" s="7">
        <v>35.0</v>
      </c>
      <c r="B36" s="7" t="s">
        <v>48</v>
      </c>
      <c r="C36" s="14" t="s">
        <v>51</v>
      </c>
      <c r="D36" s="9">
        <v>1.0</v>
      </c>
      <c r="E36" s="9">
        <f t="shared" ref="E36:E38" si="9">_xlfn.FLOOR.MATH(1.5*E28)</f>
        <v>9</v>
      </c>
      <c r="F36" s="9">
        <v>5.0</v>
      </c>
      <c r="G36" s="9">
        <v>0.0</v>
      </c>
      <c r="H36" s="9">
        <v>1.0</v>
      </c>
      <c r="I36" s="29">
        <f t="shared" si="8"/>
        <v>18</v>
      </c>
      <c r="J36" s="10">
        <f t="shared" si="6"/>
        <v>4</v>
      </c>
      <c r="K36" s="11"/>
      <c r="L36" s="11"/>
      <c r="M36" s="9">
        <v>1.0</v>
      </c>
    </row>
    <row r="37">
      <c r="A37" s="7">
        <v>36.0</v>
      </c>
      <c r="B37" s="7" t="s">
        <v>48</v>
      </c>
      <c r="C37" s="14" t="s">
        <v>51</v>
      </c>
      <c r="D37" s="9">
        <v>2.0</v>
      </c>
      <c r="E37" s="9">
        <f t="shared" si="9"/>
        <v>12</v>
      </c>
      <c r="F37" s="9">
        <v>8.0</v>
      </c>
      <c r="G37" s="9">
        <v>1.0</v>
      </c>
      <c r="H37" s="9">
        <v>2.0</v>
      </c>
      <c r="I37" s="29">
        <f t="shared" si="8"/>
        <v>33</v>
      </c>
      <c r="J37" s="10">
        <f t="shared" si="6"/>
        <v>8</v>
      </c>
      <c r="K37" s="11"/>
      <c r="L37" s="11"/>
      <c r="M37" s="9">
        <v>2.0</v>
      </c>
    </row>
    <row r="38">
      <c r="A38" s="7">
        <v>37.0</v>
      </c>
      <c r="B38" s="7" t="s">
        <v>48</v>
      </c>
      <c r="C38" s="14" t="s">
        <v>51</v>
      </c>
      <c r="D38" s="9">
        <v>3.0</v>
      </c>
      <c r="E38" s="9">
        <f t="shared" si="9"/>
        <v>18</v>
      </c>
      <c r="F38" s="9">
        <v>11.0</v>
      </c>
      <c r="G38" s="9">
        <v>5.0</v>
      </c>
      <c r="H38" s="9">
        <v>7.0</v>
      </c>
      <c r="I38" s="29">
        <f t="shared" si="8"/>
        <v>69</v>
      </c>
      <c r="J38" s="10">
        <f t="shared" si="6"/>
        <v>18</v>
      </c>
      <c r="K38" s="11"/>
      <c r="L38" s="11"/>
      <c r="M38" s="9">
        <v>3.0</v>
      </c>
    </row>
    <row r="39">
      <c r="A39" s="7">
        <v>38.0</v>
      </c>
      <c r="B39" s="7" t="s">
        <v>52</v>
      </c>
      <c r="C39" s="28" t="s">
        <v>53</v>
      </c>
      <c r="D39" s="9">
        <v>1.0</v>
      </c>
      <c r="E39" s="9">
        <v>10.0</v>
      </c>
      <c r="F39" s="9">
        <v>1.0</v>
      </c>
      <c r="G39" s="9">
        <v>0.0</v>
      </c>
      <c r="H39" s="9">
        <v>3.0</v>
      </c>
      <c r="I39" s="29">
        <f t="shared" si="8"/>
        <v>12</v>
      </c>
      <c r="J39" s="10">
        <f t="shared" si="6"/>
        <v>3</v>
      </c>
      <c r="K39" s="9">
        <v>1.0</v>
      </c>
      <c r="M39" s="11"/>
      <c r="N39" s="7" t="s">
        <v>54</v>
      </c>
    </row>
    <row r="40">
      <c r="A40" s="7">
        <v>39.0</v>
      </c>
      <c r="B40" s="7" t="s">
        <v>52</v>
      </c>
      <c r="C40" s="28" t="s">
        <v>55</v>
      </c>
      <c r="D40" s="9">
        <v>2.0</v>
      </c>
      <c r="E40" s="9">
        <v>15.0</v>
      </c>
      <c r="F40" s="9">
        <v>3.0</v>
      </c>
      <c r="G40" s="9">
        <v>1.0</v>
      </c>
      <c r="H40" s="9">
        <v>8.0</v>
      </c>
      <c r="I40" s="29">
        <f t="shared" si="8"/>
        <v>36</v>
      </c>
      <c r="J40" s="10">
        <f t="shared" si="6"/>
        <v>9</v>
      </c>
      <c r="K40" s="9">
        <v>2.0</v>
      </c>
      <c r="M40" s="11"/>
      <c r="N40" s="7" t="s">
        <v>56</v>
      </c>
    </row>
    <row r="41">
      <c r="A41" s="7">
        <v>40.0</v>
      </c>
      <c r="B41" s="7" t="s">
        <v>52</v>
      </c>
      <c r="C41" s="28" t="s">
        <v>57</v>
      </c>
      <c r="D41" s="9">
        <v>3.0</v>
      </c>
      <c r="E41" s="9">
        <v>20.0</v>
      </c>
      <c r="F41" s="9">
        <v>12.0</v>
      </c>
      <c r="G41" s="9">
        <v>2.0</v>
      </c>
      <c r="H41" s="9">
        <v>6.0</v>
      </c>
      <c r="I41" s="29">
        <f t="shared" si="8"/>
        <v>60</v>
      </c>
      <c r="J41" s="10">
        <f t="shared" si="6"/>
        <v>16</v>
      </c>
      <c r="K41" s="9">
        <v>3.0</v>
      </c>
      <c r="M41" s="11"/>
      <c r="N41" s="7" t="s">
        <v>58</v>
      </c>
    </row>
    <row r="42">
      <c r="A42" s="7">
        <v>41.0</v>
      </c>
      <c r="B42" s="7" t="s">
        <v>59</v>
      </c>
      <c r="C42" s="33" t="s">
        <v>60</v>
      </c>
      <c r="D42" s="9">
        <v>1.0</v>
      </c>
      <c r="E42" s="11">
        <f t="shared" ref="E42:E46" si="10">$P$8*2 -2</f>
        <v>10</v>
      </c>
      <c r="F42" s="9" t="s">
        <v>37</v>
      </c>
      <c r="G42" s="9" t="s">
        <v>37</v>
      </c>
      <c r="H42" s="9" t="s">
        <v>37</v>
      </c>
      <c r="I42" s="9" t="s">
        <v>37</v>
      </c>
      <c r="J42" s="11">
        <f t="shared" ref="J42:J46" si="11">D42*E42*$P$17</f>
        <v>18</v>
      </c>
      <c r="K42" s="11"/>
      <c r="N42" s="7" t="s">
        <v>61</v>
      </c>
      <c r="O42" s="11"/>
    </row>
    <row r="43">
      <c r="A43" s="7">
        <v>42.0</v>
      </c>
      <c r="B43" s="7" t="s">
        <v>59</v>
      </c>
      <c r="C43" s="33" t="s">
        <v>60</v>
      </c>
      <c r="D43" s="9">
        <v>2.0</v>
      </c>
      <c r="E43" s="11">
        <f t="shared" si="10"/>
        <v>10</v>
      </c>
      <c r="F43" s="9" t="s">
        <v>37</v>
      </c>
      <c r="G43" s="9" t="s">
        <v>37</v>
      </c>
      <c r="H43" s="9" t="s">
        <v>37</v>
      </c>
      <c r="I43" s="9" t="s">
        <v>37</v>
      </c>
      <c r="J43" s="11">
        <f t="shared" si="11"/>
        <v>36</v>
      </c>
      <c r="K43" s="11"/>
      <c r="N43" s="7" t="s">
        <v>62</v>
      </c>
      <c r="O43" s="11"/>
    </row>
    <row r="44">
      <c r="A44" s="7">
        <v>43.0</v>
      </c>
      <c r="B44" s="7" t="s">
        <v>59</v>
      </c>
      <c r="C44" s="33" t="s">
        <v>60</v>
      </c>
      <c r="D44" s="9">
        <v>3.0</v>
      </c>
      <c r="E44" s="11">
        <f t="shared" si="10"/>
        <v>10</v>
      </c>
      <c r="F44" s="9" t="s">
        <v>37</v>
      </c>
      <c r="G44" s="9" t="s">
        <v>37</v>
      </c>
      <c r="H44" s="9" t="s">
        <v>37</v>
      </c>
      <c r="I44" s="9" t="s">
        <v>37</v>
      </c>
      <c r="J44" s="11">
        <f t="shared" si="11"/>
        <v>54</v>
      </c>
      <c r="K44" s="11"/>
      <c r="N44" s="7" t="s">
        <v>63</v>
      </c>
      <c r="O44" s="11"/>
    </row>
    <row r="45">
      <c r="A45" s="7">
        <v>44.0</v>
      </c>
      <c r="B45" s="7" t="s">
        <v>59</v>
      </c>
      <c r="C45" s="33" t="s">
        <v>60</v>
      </c>
      <c r="D45" s="9">
        <v>4.0</v>
      </c>
      <c r="E45" s="11">
        <f t="shared" si="10"/>
        <v>10</v>
      </c>
      <c r="F45" s="9" t="s">
        <v>37</v>
      </c>
      <c r="G45" s="9" t="s">
        <v>37</v>
      </c>
      <c r="H45" s="9" t="s">
        <v>37</v>
      </c>
      <c r="I45" s="9" t="s">
        <v>37</v>
      </c>
      <c r="J45" s="11">
        <f t="shared" si="11"/>
        <v>72</v>
      </c>
      <c r="K45" s="11"/>
      <c r="N45" s="7" t="s">
        <v>64</v>
      </c>
      <c r="O45" s="11"/>
    </row>
    <row r="46">
      <c r="A46" s="7">
        <v>45.0</v>
      </c>
      <c r="B46" s="7" t="s">
        <v>59</v>
      </c>
      <c r="C46" s="33" t="s">
        <v>60</v>
      </c>
      <c r="D46" s="9">
        <v>5.0</v>
      </c>
      <c r="E46" s="11">
        <f t="shared" si="10"/>
        <v>10</v>
      </c>
      <c r="F46" s="9" t="s">
        <v>37</v>
      </c>
      <c r="G46" s="9" t="s">
        <v>37</v>
      </c>
      <c r="H46" s="9" t="s">
        <v>37</v>
      </c>
      <c r="I46" s="9" t="s">
        <v>37</v>
      </c>
      <c r="J46" s="11">
        <f t="shared" si="11"/>
        <v>90</v>
      </c>
      <c r="K46" s="11"/>
      <c r="N46" s="7" t="s">
        <v>65</v>
      </c>
      <c r="O46" s="11"/>
    </row>
    <row r="47">
      <c r="A47" s="7">
        <v>46.0</v>
      </c>
      <c r="B47" s="7" t="s">
        <v>66</v>
      </c>
      <c r="C47" s="32" t="s">
        <v>67</v>
      </c>
      <c r="D47" s="9">
        <v>2.0</v>
      </c>
      <c r="E47" s="9">
        <f>$P$8/2</f>
        <v>3</v>
      </c>
      <c r="F47" s="9" t="s">
        <v>37</v>
      </c>
      <c r="G47" s="9" t="s">
        <v>37</v>
      </c>
      <c r="H47" s="9" t="s">
        <v>37</v>
      </c>
      <c r="I47" s="11">
        <f t="shared" ref="I47:I61" si="12">_xlfn.FLOOR.MATH(D47*$P$15*($P$14^D47))</f>
        <v>2</v>
      </c>
      <c r="J47" s="11">
        <f t="shared" ref="J47:J61" si="13">_xlfn.FLOOR.MATH($P$6*I47)</f>
        <v>1</v>
      </c>
      <c r="K47" s="11"/>
      <c r="L47" s="11"/>
      <c r="M47" s="11"/>
    </row>
    <row r="48">
      <c r="A48" s="7">
        <v>47.0</v>
      </c>
      <c r="B48" s="7" t="s">
        <v>66</v>
      </c>
      <c r="C48" s="32" t="s">
        <v>68</v>
      </c>
      <c r="D48" s="9">
        <v>3.0</v>
      </c>
      <c r="E48" s="9">
        <v>2.0</v>
      </c>
      <c r="F48" s="9" t="s">
        <v>37</v>
      </c>
      <c r="G48" s="9" t="s">
        <v>37</v>
      </c>
      <c r="H48" s="9" t="s">
        <v>37</v>
      </c>
      <c r="I48" s="11">
        <f t="shared" si="12"/>
        <v>5</v>
      </c>
      <c r="J48" s="11">
        <f t="shared" si="13"/>
        <v>4</v>
      </c>
      <c r="K48" s="11"/>
      <c r="L48" s="11"/>
      <c r="M48" s="11"/>
    </row>
    <row r="49">
      <c r="A49" s="7">
        <v>48.0</v>
      </c>
      <c r="B49" s="7" t="s">
        <v>66</v>
      </c>
      <c r="C49" s="32" t="s">
        <v>69</v>
      </c>
      <c r="D49" s="9">
        <v>5.0</v>
      </c>
      <c r="E49" s="9">
        <f>$P$8/2</f>
        <v>3</v>
      </c>
      <c r="F49" s="9" t="s">
        <v>37</v>
      </c>
      <c r="G49" s="9" t="s">
        <v>37</v>
      </c>
      <c r="H49" s="9" t="s">
        <v>37</v>
      </c>
      <c r="I49" s="11">
        <f t="shared" si="12"/>
        <v>12</v>
      </c>
      <c r="J49" s="11">
        <f t="shared" si="13"/>
        <v>9</v>
      </c>
      <c r="K49" s="11"/>
      <c r="L49" s="11"/>
      <c r="M49" s="11"/>
    </row>
    <row r="50">
      <c r="A50" s="7">
        <v>49.0</v>
      </c>
      <c r="B50" s="7" t="s">
        <v>66</v>
      </c>
      <c r="C50" s="32" t="s">
        <v>70</v>
      </c>
      <c r="D50" s="9">
        <v>6.0</v>
      </c>
      <c r="E50" s="11">
        <f>$P$8</f>
        <v>6</v>
      </c>
      <c r="F50" s="9" t="s">
        <v>37</v>
      </c>
      <c r="G50" s="9" t="s">
        <v>37</v>
      </c>
      <c r="H50" s="9" t="s">
        <v>37</v>
      </c>
      <c r="I50" s="11">
        <f t="shared" si="12"/>
        <v>17</v>
      </c>
      <c r="J50" s="11">
        <f t="shared" si="13"/>
        <v>13</v>
      </c>
      <c r="K50" s="11"/>
      <c r="L50" s="11"/>
      <c r="M50" s="11"/>
    </row>
    <row r="51">
      <c r="A51" s="7">
        <v>50.0</v>
      </c>
      <c r="B51" s="7" t="s">
        <v>66</v>
      </c>
      <c r="C51" s="32" t="s">
        <v>71</v>
      </c>
      <c r="D51" s="9">
        <v>8.0</v>
      </c>
      <c r="E51" s="9">
        <v>1.0</v>
      </c>
      <c r="F51" s="9" t="s">
        <v>37</v>
      </c>
      <c r="G51" s="9" t="s">
        <v>37</v>
      </c>
      <c r="H51" s="9" t="s">
        <v>37</v>
      </c>
      <c r="I51" s="11">
        <f t="shared" si="12"/>
        <v>34</v>
      </c>
      <c r="J51" s="11">
        <f t="shared" si="13"/>
        <v>27</v>
      </c>
      <c r="K51" s="11"/>
      <c r="L51" s="11"/>
      <c r="M51" s="11"/>
    </row>
    <row r="52">
      <c r="A52" s="7">
        <v>51.0</v>
      </c>
      <c r="B52" s="7" t="s">
        <v>66</v>
      </c>
      <c r="C52" s="32" t="s">
        <v>72</v>
      </c>
      <c r="D52" s="9">
        <v>8.0</v>
      </c>
      <c r="E52" s="9">
        <v>2.0</v>
      </c>
      <c r="F52" s="9" t="s">
        <v>37</v>
      </c>
      <c r="G52" s="9" t="s">
        <v>37</v>
      </c>
      <c r="H52" s="9" t="s">
        <v>37</v>
      </c>
      <c r="I52" s="11">
        <f t="shared" si="12"/>
        <v>34</v>
      </c>
      <c r="J52" s="11">
        <f t="shared" si="13"/>
        <v>27</v>
      </c>
      <c r="K52" s="11"/>
      <c r="L52" s="11"/>
      <c r="M52" s="11"/>
    </row>
    <row r="53">
      <c r="A53" s="7">
        <v>52.0</v>
      </c>
      <c r="B53" s="7" t="s">
        <v>66</v>
      </c>
      <c r="C53" s="32" t="s">
        <v>73</v>
      </c>
      <c r="D53" s="9">
        <v>8.0</v>
      </c>
      <c r="E53" s="9">
        <v>1.0</v>
      </c>
      <c r="F53" s="9" t="s">
        <v>37</v>
      </c>
      <c r="G53" s="9" t="s">
        <v>37</v>
      </c>
      <c r="H53" s="9" t="s">
        <v>37</v>
      </c>
      <c r="I53" s="11">
        <f t="shared" si="12"/>
        <v>34</v>
      </c>
      <c r="J53" s="11">
        <f t="shared" si="13"/>
        <v>27</v>
      </c>
      <c r="K53" s="11"/>
      <c r="L53" s="11"/>
      <c r="M53" s="11"/>
    </row>
    <row r="54">
      <c r="A54" s="7">
        <v>53.0</v>
      </c>
      <c r="B54" s="13" t="s">
        <v>66</v>
      </c>
      <c r="C54" s="34" t="s">
        <v>74</v>
      </c>
      <c r="D54" s="21">
        <v>8.0</v>
      </c>
      <c r="E54" s="16">
        <v>1.0</v>
      </c>
      <c r="F54" s="9" t="s">
        <v>37</v>
      </c>
      <c r="G54" s="9" t="s">
        <v>37</v>
      </c>
      <c r="H54" s="9" t="s">
        <v>37</v>
      </c>
      <c r="I54" s="35">
        <f t="shared" si="12"/>
        <v>34</v>
      </c>
      <c r="J54" s="35">
        <f t="shared" si="13"/>
        <v>27</v>
      </c>
      <c r="K54" s="11"/>
      <c r="L54" s="11"/>
      <c r="M54" s="11"/>
    </row>
    <row r="55">
      <c r="A55" s="7">
        <v>54.0</v>
      </c>
      <c r="B55" s="13" t="s">
        <v>66</v>
      </c>
      <c r="C55" s="34" t="s">
        <v>75</v>
      </c>
      <c r="D55" s="17">
        <v>9.0</v>
      </c>
      <c r="E55" s="16">
        <v>1.0</v>
      </c>
      <c r="F55" s="9" t="s">
        <v>37</v>
      </c>
      <c r="G55" s="9" t="s">
        <v>37</v>
      </c>
      <c r="H55" s="9" t="s">
        <v>37</v>
      </c>
      <c r="I55" s="35">
        <f t="shared" si="12"/>
        <v>46</v>
      </c>
      <c r="J55" s="35">
        <f t="shared" si="13"/>
        <v>36</v>
      </c>
      <c r="K55" s="11"/>
      <c r="L55" s="11"/>
      <c r="M55" s="11"/>
    </row>
    <row r="56">
      <c r="A56" s="7">
        <v>55.0</v>
      </c>
      <c r="B56" s="13" t="s">
        <v>66</v>
      </c>
      <c r="C56" s="32" t="s">
        <v>76</v>
      </c>
      <c r="D56" s="17">
        <v>9.0</v>
      </c>
      <c r="E56" s="16">
        <v>1.0</v>
      </c>
      <c r="F56" s="9" t="s">
        <v>37</v>
      </c>
      <c r="G56" s="9" t="s">
        <v>37</v>
      </c>
      <c r="H56" s="9" t="s">
        <v>37</v>
      </c>
      <c r="I56" s="35">
        <f t="shared" si="12"/>
        <v>46</v>
      </c>
      <c r="J56" s="35">
        <f t="shared" si="13"/>
        <v>36</v>
      </c>
      <c r="K56" s="11"/>
      <c r="L56" s="11"/>
      <c r="M56" s="11"/>
    </row>
    <row r="57">
      <c r="A57" s="7">
        <v>56.0</v>
      </c>
      <c r="B57" s="7" t="s">
        <v>66</v>
      </c>
      <c r="C57" s="32" t="s">
        <v>77</v>
      </c>
      <c r="D57" s="9">
        <v>9.0</v>
      </c>
      <c r="E57" s="9">
        <v>2.0</v>
      </c>
      <c r="F57" s="9" t="s">
        <v>37</v>
      </c>
      <c r="G57" s="9" t="s">
        <v>37</v>
      </c>
      <c r="H57" s="9" t="s">
        <v>37</v>
      </c>
      <c r="I57" s="11">
        <f t="shared" si="12"/>
        <v>46</v>
      </c>
      <c r="J57" s="11">
        <f t="shared" si="13"/>
        <v>36</v>
      </c>
      <c r="K57" s="11"/>
      <c r="L57" s="11"/>
      <c r="M57" s="11"/>
    </row>
    <row r="58">
      <c r="A58" s="7">
        <v>57.0</v>
      </c>
      <c r="B58" s="7" t="s">
        <v>66</v>
      </c>
      <c r="C58" s="32" t="s">
        <v>78</v>
      </c>
      <c r="D58" s="9">
        <v>11.0</v>
      </c>
      <c r="E58" s="9">
        <v>2.0</v>
      </c>
      <c r="F58" s="9" t="s">
        <v>37</v>
      </c>
      <c r="G58" s="9" t="s">
        <v>37</v>
      </c>
      <c r="H58" s="9" t="s">
        <v>37</v>
      </c>
      <c r="I58" s="11">
        <f t="shared" si="12"/>
        <v>81</v>
      </c>
      <c r="J58" s="11">
        <f t="shared" si="13"/>
        <v>64</v>
      </c>
      <c r="K58" s="11"/>
      <c r="L58" s="11"/>
      <c r="M58" s="11"/>
    </row>
    <row r="59">
      <c r="A59" s="7">
        <v>58.0</v>
      </c>
      <c r="B59" s="7" t="s">
        <v>66</v>
      </c>
      <c r="C59" s="32" t="s">
        <v>79</v>
      </c>
      <c r="D59" s="9">
        <v>12.0</v>
      </c>
      <c r="E59" s="9">
        <v>1.0</v>
      </c>
      <c r="F59" s="9" t="s">
        <v>37</v>
      </c>
      <c r="G59" s="9" t="s">
        <v>37</v>
      </c>
      <c r="H59" s="9" t="s">
        <v>37</v>
      </c>
      <c r="I59" s="11">
        <f t="shared" si="12"/>
        <v>106</v>
      </c>
      <c r="J59" s="11">
        <f t="shared" si="13"/>
        <v>84</v>
      </c>
      <c r="K59" s="11"/>
      <c r="L59" s="11"/>
      <c r="M59" s="11"/>
    </row>
    <row r="60">
      <c r="A60" s="7">
        <v>59.0</v>
      </c>
      <c r="B60" s="7" t="s">
        <v>66</v>
      </c>
      <c r="C60" s="32" t="s">
        <v>80</v>
      </c>
      <c r="D60" s="9">
        <v>12.0</v>
      </c>
      <c r="E60" s="9">
        <v>1.0</v>
      </c>
      <c r="F60" s="9" t="s">
        <v>37</v>
      </c>
      <c r="G60" s="9" t="s">
        <v>37</v>
      </c>
      <c r="H60" s="9" t="s">
        <v>37</v>
      </c>
      <c r="I60" s="11">
        <f t="shared" si="12"/>
        <v>106</v>
      </c>
      <c r="J60" s="11">
        <f t="shared" si="13"/>
        <v>84</v>
      </c>
      <c r="K60" s="11"/>
      <c r="L60" s="11"/>
      <c r="M60" s="11"/>
    </row>
    <row r="61">
      <c r="A61" s="7">
        <v>60.0</v>
      </c>
      <c r="B61" s="7" t="s">
        <v>66</v>
      </c>
      <c r="C61" s="32" t="s">
        <v>81</v>
      </c>
      <c r="D61" s="9">
        <v>12.0</v>
      </c>
      <c r="E61" s="9">
        <v>1.0</v>
      </c>
      <c r="F61" s="9" t="s">
        <v>37</v>
      </c>
      <c r="G61" s="9" t="s">
        <v>37</v>
      </c>
      <c r="H61" s="9" t="s">
        <v>37</v>
      </c>
      <c r="I61" s="11">
        <f t="shared" si="12"/>
        <v>106</v>
      </c>
      <c r="J61" s="11">
        <f t="shared" si="13"/>
        <v>84</v>
      </c>
      <c r="K61" s="11"/>
      <c r="L61" s="11"/>
      <c r="M61" s="11"/>
    </row>
  </sheetData>
  <dataValidations>
    <dataValidation type="list" allowBlank="1" showErrorMessage="1" sqref="B2:B61">
      <formula1>"Zbraň,Obrana,Hangár,Nákladní prostor,Pohon,Surovina,Modul,Jiné,Loď"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8.5"/>
    <col customWidth="1" min="3" max="3" width="14.63"/>
    <col customWidth="1" min="4" max="5" width="8.25"/>
    <col customWidth="1" min="6" max="6" width="10.88"/>
    <col customWidth="1" min="7" max="7" width="10.25"/>
    <col customWidth="1" min="8" max="8" width="7.63"/>
    <col customWidth="1" min="9" max="9" width="8.88"/>
    <col customWidth="1" min="10" max="10" width="8.63"/>
    <col customWidth="1" min="11" max="11" width="7.0"/>
    <col customWidth="1" min="12" max="12" width="5.75"/>
    <col customWidth="1" min="13" max="13" width="8.38"/>
    <col customWidth="1" min="14" max="14" width="32.13"/>
    <col customWidth="1" min="15" max="15" width="21.5"/>
    <col customWidth="1" min="16" max="16" width="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</row>
    <row r="2">
      <c r="A2" s="7">
        <v>1.0</v>
      </c>
      <c r="B2" s="7" t="s">
        <v>14</v>
      </c>
      <c r="C2" s="8" t="s">
        <v>15</v>
      </c>
      <c r="D2" s="9"/>
      <c r="E2" s="9">
        <f>$P$8*4+2</f>
        <v>22</v>
      </c>
      <c r="F2" s="9">
        <v>0.0</v>
      </c>
      <c r="G2" s="9">
        <v>4.0</v>
      </c>
      <c r="H2" s="9">
        <v>0.0</v>
      </c>
      <c r="I2" s="10">
        <f t="shared" ref="I2:I3" si="1">_xlfn.FLOOR.MATH($P$5*$P$3*SUM(F2:H2))</f>
        <v>9</v>
      </c>
      <c r="J2" s="10">
        <f t="shared" ref="J2:J3" si="2">_xlfn.FLOOR.MATH($P$6*SUM(F2:H2))</f>
        <v>3</v>
      </c>
      <c r="L2" s="11"/>
      <c r="M2" s="11"/>
      <c r="N2" s="7" t="s">
        <v>16</v>
      </c>
    </row>
    <row r="3">
      <c r="A3" s="7">
        <v>2.0</v>
      </c>
      <c r="B3" s="7" t="s">
        <v>14</v>
      </c>
      <c r="C3" s="8" t="s">
        <v>17</v>
      </c>
      <c r="D3" s="9"/>
      <c r="E3" s="9">
        <f>$P$8*P12</f>
        <v>20</v>
      </c>
      <c r="F3" s="9">
        <v>2.0</v>
      </c>
      <c r="G3" s="9">
        <v>7.0</v>
      </c>
      <c r="H3" s="9">
        <v>4.0</v>
      </c>
      <c r="I3" s="10">
        <f t="shared" si="1"/>
        <v>31</v>
      </c>
      <c r="J3" s="10">
        <f t="shared" si="2"/>
        <v>10</v>
      </c>
      <c r="L3" s="11"/>
      <c r="M3" s="11"/>
      <c r="N3" s="7" t="s">
        <v>18</v>
      </c>
      <c r="O3" s="12" t="s">
        <v>19</v>
      </c>
      <c r="P3" s="12">
        <v>2.0</v>
      </c>
    </row>
    <row r="4">
      <c r="A4" s="7">
        <v>3.0</v>
      </c>
      <c r="B4" s="13" t="s">
        <v>20</v>
      </c>
      <c r="C4" s="14" t="s">
        <v>21</v>
      </c>
      <c r="D4" s="15"/>
      <c r="E4" s="16" t="s">
        <v>22</v>
      </c>
      <c r="F4" s="17">
        <v>1.0</v>
      </c>
      <c r="G4" s="16">
        <v>0.0</v>
      </c>
      <c r="H4" s="16">
        <v>0.0</v>
      </c>
      <c r="I4" s="10">
        <f t="shared" ref="I4:I12" si="3">$P$3*SUM(F4:H4)</f>
        <v>2</v>
      </c>
      <c r="J4" s="11">
        <f t="shared" ref="J4:J12" si="4">$P$4*SUM(F4:H4)</f>
        <v>1</v>
      </c>
      <c r="K4" s="18"/>
      <c r="L4" s="10"/>
      <c r="M4" s="10"/>
      <c r="O4" s="19" t="s">
        <v>23</v>
      </c>
      <c r="P4" s="19">
        <v>1.0</v>
      </c>
    </row>
    <row r="5">
      <c r="A5" s="7">
        <v>4.0</v>
      </c>
      <c r="B5" s="13" t="s">
        <v>20</v>
      </c>
      <c r="C5" s="20" t="s">
        <v>21</v>
      </c>
      <c r="D5" s="15"/>
      <c r="E5" s="16" t="s">
        <v>22</v>
      </c>
      <c r="F5" s="21">
        <v>2.0</v>
      </c>
      <c r="G5" s="16">
        <v>0.0</v>
      </c>
      <c r="H5" s="16">
        <v>0.0</v>
      </c>
      <c r="I5" s="10">
        <f t="shared" si="3"/>
        <v>4</v>
      </c>
      <c r="J5" s="11">
        <f t="shared" si="4"/>
        <v>2</v>
      </c>
      <c r="K5" s="18"/>
      <c r="L5" s="10"/>
      <c r="M5" s="10"/>
      <c r="O5" s="19" t="s">
        <v>24</v>
      </c>
      <c r="P5" s="19">
        <v>1.2</v>
      </c>
    </row>
    <row r="6">
      <c r="A6" s="7">
        <v>5.0</v>
      </c>
      <c r="B6" s="7" t="s">
        <v>20</v>
      </c>
      <c r="C6" s="14" t="s">
        <v>21</v>
      </c>
      <c r="D6" s="9"/>
      <c r="E6" s="16" t="s">
        <v>22</v>
      </c>
      <c r="F6" s="9">
        <v>5.0</v>
      </c>
      <c r="G6" s="16">
        <v>0.0</v>
      </c>
      <c r="H6" s="16">
        <v>0.0</v>
      </c>
      <c r="I6" s="10">
        <f t="shared" si="3"/>
        <v>10</v>
      </c>
      <c r="J6" s="11">
        <f t="shared" si="4"/>
        <v>5</v>
      </c>
      <c r="L6" s="11"/>
      <c r="M6" s="11"/>
      <c r="O6" s="22" t="s">
        <v>25</v>
      </c>
      <c r="P6" s="22">
        <v>0.8</v>
      </c>
    </row>
    <row r="7">
      <c r="A7" s="7">
        <v>6.0</v>
      </c>
      <c r="B7" s="13" t="s">
        <v>20</v>
      </c>
      <c r="C7" s="20" t="s">
        <v>26</v>
      </c>
      <c r="D7" s="15"/>
      <c r="E7" s="16" t="s">
        <v>22</v>
      </c>
      <c r="F7" s="16">
        <v>0.0</v>
      </c>
      <c r="G7" s="17">
        <v>1.0</v>
      </c>
      <c r="H7" s="16">
        <v>0.0</v>
      </c>
      <c r="I7" s="10">
        <f t="shared" si="3"/>
        <v>2</v>
      </c>
      <c r="J7" s="11">
        <f t="shared" si="4"/>
        <v>1</v>
      </c>
      <c r="N7" s="13" t="s">
        <v>27</v>
      </c>
    </row>
    <row r="8">
      <c r="A8" s="7">
        <v>7.0</v>
      </c>
      <c r="B8" s="13" t="s">
        <v>20</v>
      </c>
      <c r="C8" s="20" t="s">
        <v>26</v>
      </c>
      <c r="D8" s="15"/>
      <c r="E8" s="16" t="s">
        <v>22</v>
      </c>
      <c r="F8" s="16">
        <v>0.0</v>
      </c>
      <c r="G8" s="21">
        <v>2.0</v>
      </c>
      <c r="H8" s="16">
        <v>0.0</v>
      </c>
      <c r="I8" s="10">
        <f t="shared" si="3"/>
        <v>4</v>
      </c>
      <c r="J8" s="11">
        <f t="shared" si="4"/>
        <v>2</v>
      </c>
      <c r="N8" s="23" t="s">
        <v>28</v>
      </c>
      <c r="O8" s="12" t="s">
        <v>29</v>
      </c>
      <c r="P8" s="24">
        <v>5.0</v>
      </c>
    </row>
    <row r="9">
      <c r="A9" s="7">
        <v>8.0</v>
      </c>
      <c r="B9" s="7" t="s">
        <v>20</v>
      </c>
      <c r="C9" s="14" t="s">
        <v>26</v>
      </c>
      <c r="D9" s="9"/>
      <c r="E9" s="16" t="s">
        <v>22</v>
      </c>
      <c r="F9" s="16">
        <v>0.0</v>
      </c>
      <c r="G9" s="9">
        <v>5.0</v>
      </c>
      <c r="H9" s="16">
        <v>0.0</v>
      </c>
      <c r="I9" s="10">
        <f t="shared" si="3"/>
        <v>10</v>
      </c>
      <c r="J9" s="11">
        <f t="shared" si="4"/>
        <v>5</v>
      </c>
      <c r="N9" s="7" t="s">
        <v>30</v>
      </c>
      <c r="O9" s="22" t="s">
        <v>31</v>
      </c>
      <c r="P9" s="25">
        <v>25.0</v>
      </c>
    </row>
    <row r="10">
      <c r="A10" s="7">
        <v>9.0</v>
      </c>
      <c r="B10" s="7" t="s">
        <v>20</v>
      </c>
      <c r="C10" s="14" t="s">
        <v>32</v>
      </c>
      <c r="D10" s="9"/>
      <c r="E10" s="16" t="s">
        <v>22</v>
      </c>
      <c r="F10" s="16">
        <v>0.0</v>
      </c>
      <c r="G10" s="16">
        <v>0.0</v>
      </c>
      <c r="H10" s="9">
        <v>1.0</v>
      </c>
      <c r="I10" s="10">
        <f t="shared" si="3"/>
        <v>2</v>
      </c>
      <c r="J10" s="11">
        <f t="shared" si="4"/>
        <v>1</v>
      </c>
      <c r="K10" s="11"/>
      <c r="L10" s="11"/>
      <c r="M10" s="11"/>
    </row>
    <row r="11">
      <c r="A11" s="7">
        <v>10.0</v>
      </c>
      <c r="B11" s="7" t="s">
        <v>20</v>
      </c>
      <c r="C11" s="14" t="s">
        <v>32</v>
      </c>
      <c r="D11" s="9"/>
      <c r="E11" s="16" t="s">
        <v>22</v>
      </c>
      <c r="F11" s="16">
        <v>0.0</v>
      </c>
      <c r="G11" s="16">
        <v>0.0</v>
      </c>
      <c r="H11" s="9">
        <v>2.0</v>
      </c>
      <c r="I11" s="10">
        <f t="shared" si="3"/>
        <v>4</v>
      </c>
      <c r="J11" s="11">
        <f t="shared" si="4"/>
        <v>2</v>
      </c>
      <c r="K11" s="11"/>
      <c r="L11" s="11"/>
      <c r="M11" s="11"/>
      <c r="O11" s="12" t="s">
        <v>33</v>
      </c>
      <c r="P11" s="26">
        <f>_xlfn.FLOOR.MATH(Q11)</f>
        <v>5</v>
      </c>
      <c r="Q11" s="27">
        <f>P9/P8</f>
        <v>5</v>
      </c>
    </row>
    <row r="12">
      <c r="A12" s="7">
        <v>11.0</v>
      </c>
      <c r="B12" s="7" t="s">
        <v>20</v>
      </c>
      <c r="C12" s="14" t="s">
        <v>32</v>
      </c>
      <c r="D12" s="9"/>
      <c r="E12" s="16" t="s">
        <v>22</v>
      </c>
      <c r="F12" s="16">
        <v>0.0</v>
      </c>
      <c r="G12" s="16">
        <v>0.0</v>
      </c>
      <c r="H12" s="9">
        <v>5.0</v>
      </c>
      <c r="I12" s="10">
        <f t="shared" si="3"/>
        <v>10</v>
      </c>
      <c r="J12" s="11">
        <f t="shared" si="4"/>
        <v>5</v>
      </c>
      <c r="K12" s="11"/>
      <c r="L12" s="11"/>
      <c r="M12" s="11"/>
      <c r="O12" s="22" t="s">
        <v>34</v>
      </c>
      <c r="P12" s="25">
        <v>4.0</v>
      </c>
    </row>
    <row r="13">
      <c r="A13" s="7">
        <v>12.0</v>
      </c>
      <c r="B13" s="7" t="s">
        <v>35</v>
      </c>
      <c r="C13" s="28" t="s">
        <v>36</v>
      </c>
      <c r="D13" s="9">
        <v>2.0</v>
      </c>
      <c r="E13" s="9">
        <f t="shared" ref="E13:E21" si="5">$P$12*$P$11/2+D13</f>
        <v>12</v>
      </c>
      <c r="F13" s="9">
        <v>0.0</v>
      </c>
      <c r="G13" s="9">
        <v>5.0</v>
      </c>
      <c r="H13" s="9">
        <v>3.0</v>
      </c>
      <c r="I13" s="29">
        <f>_xlfn.FLOOR.MATH($P$5*$P$3*SUM(F13:H13))</f>
        <v>19</v>
      </c>
      <c r="J13" s="10">
        <f t="shared" ref="J13:J41" si="6">_xlfn.FLOOR.MATH($P$6*SUM(F13:H13))</f>
        <v>6</v>
      </c>
      <c r="K13" s="11"/>
      <c r="L13" s="11"/>
      <c r="M13" s="11"/>
    </row>
    <row r="14">
      <c r="A14" s="7">
        <v>13.0</v>
      </c>
      <c r="B14" s="7" t="s">
        <v>35</v>
      </c>
      <c r="C14" s="28" t="s">
        <v>36</v>
      </c>
      <c r="D14" s="9">
        <v>3.0</v>
      </c>
      <c r="E14" s="9">
        <f t="shared" si="5"/>
        <v>13</v>
      </c>
      <c r="F14" s="9">
        <v>3.0</v>
      </c>
      <c r="G14" s="9">
        <v>7.0</v>
      </c>
      <c r="H14" s="9">
        <v>5.0</v>
      </c>
      <c r="I14" s="9" t="s">
        <v>37</v>
      </c>
      <c r="J14" s="10">
        <f t="shared" si="6"/>
        <v>12</v>
      </c>
      <c r="K14" s="11"/>
      <c r="L14" s="11"/>
      <c r="M14" s="11"/>
      <c r="O14" s="12" t="s">
        <v>38</v>
      </c>
      <c r="P14" s="24">
        <v>1.2</v>
      </c>
    </row>
    <row r="15">
      <c r="A15" s="7">
        <v>14.0</v>
      </c>
      <c r="B15" s="7" t="s">
        <v>35</v>
      </c>
      <c r="C15" s="28" t="s">
        <v>36</v>
      </c>
      <c r="D15" s="9">
        <v>4.0</v>
      </c>
      <c r="E15" s="9">
        <f t="shared" si="5"/>
        <v>14</v>
      </c>
      <c r="F15" s="9">
        <v>4.0</v>
      </c>
      <c r="G15" s="9">
        <v>20.0</v>
      </c>
      <c r="H15" s="9">
        <v>6.0</v>
      </c>
      <c r="I15" s="9" t="s">
        <v>37</v>
      </c>
      <c r="J15" s="10">
        <f t="shared" si="6"/>
        <v>24</v>
      </c>
      <c r="K15" s="11"/>
      <c r="L15" s="11"/>
      <c r="M15" s="11"/>
      <c r="O15" s="22" t="s">
        <v>39</v>
      </c>
      <c r="P15" s="25">
        <v>1.0</v>
      </c>
    </row>
    <row r="16">
      <c r="A16" s="7">
        <v>15.0</v>
      </c>
      <c r="B16" s="7" t="s">
        <v>35</v>
      </c>
      <c r="C16" s="28" t="s">
        <v>40</v>
      </c>
      <c r="D16" s="9">
        <v>1.0</v>
      </c>
      <c r="E16" s="9">
        <f t="shared" si="5"/>
        <v>11</v>
      </c>
      <c r="F16" s="9">
        <v>1.0</v>
      </c>
      <c r="G16" s="9">
        <v>0.0</v>
      </c>
      <c r="H16" s="9">
        <v>4.0</v>
      </c>
      <c r="I16" s="29">
        <f>_xlfn.FLOOR.MATH($P$5*$P$3*SUM(F16:H16))</f>
        <v>12</v>
      </c>
      <c r="J16" s="10">
        <f t="shared" si="6"/>
        <v>4</v>
      </c>
      <c r="K16" s="11"/>
      <c r="L16" s="11"/>
      <c r="M16" s="11"/>
    </row>
    <row r="17">
      <c r="A17" s="7">
        <v>16.0</v>
      </c>
      <c r="B17" s="7" t="s">
        <v>35</v>
      </c>
      <c r="C17" s="28" t="s">
        <v>40</v>
      </c>
      <c r="D17" s="9">
        <v>3.0</v>
      </c>
      <c r="E17" s="9">
        <f t="shared" si="5"/>
        <v>13</v>
      </c>
      <c r="F17" s="9">
        <v>2.0</v>
      </c>
      <c r="G17" s="9">
        <v>5.0</v>
      </c>
      <c r="H17" s="9">
        <v>8.0</v>
      </c>
      <c r="I17" s="9" t="s">
        <v>37</v>
      </c>
      <c r="J17" s="10">
        <f t="shared" si="6"/>
        <v>12</v>
      </c>
      <c r="K17" s="11"/>
      <c r="L17" s="11"/>
      <c r="M17" s="11"/>
      <c r="O17" s="30" t="s">
        <v>41</v>
      </c>
      <c r="P17" s="31">
        <v>2.8</v>
      </c>
    </row>
    <row r="18">
      <c r="A18" s="7">
        <v>17.0</v>
      </c>
      <c r="B18" s="7" t="s">
        <v>35</v>
      </c>
      <c r="C18" s="28" t="s">
        <v>40</v>
      </c>
      <c r="D18" s="9">
        <v>5.0</v>
      </c>
      <c r="E18" s="9">
        <f t="shared" si="5"/>
        <v>15</v>
      </c>
      <c r="F18" s="9">
        <v>5.0</v>
      </c>
      <c r="G18" s="9">
        <v>18.0</v>
      </c>
      <c r="H18" s="9">
        <v>22.0</v>
      </c>
      <c r="I18" s="9" t="s">
        <v>37</v>
      </c>
      <c r="J18" s="10">
        <f t="shared" si="6"/>
        <v>36</v>
      </c>
      <c r="K18" s="11"/>
      <c r="L18" s="11"/>
      <c r="M18" s="11"/>
    </row>
    <row r="19">
      <c r="A19" s="7">
        <v>18.0</v>
      </c>
      <c r="B19" s="7" t="s">
        <v>35</v>
      </c>
      <c r="C19" s="28" t="s">
        <v>42</v>
      </c>
      <c r="D19" s="9">
        <v>1.0</v>
      </c>
      <c r="E19" s="9">
        <f t="shared" si="5"/>
        <v>11</v>
      </c>
      <c r="F19" s="9">
        <v>4.0</v>
      </c>
      <c r="G19" s="9">
        <v>1.0</v>
      </c>
      <c r="H19" s="9">
        <v>0.0</v>
      </c>
      <c r="I19" s="29">
        <f>_xlfn.FLOOR.MATH($P$5*$P$3*SUM(F19:H19))</f>
        <v>12</v>
      </c>
      <c r="J19" s="10">
        <f t="shared" si="6"/>
        <v>4</v>
      </c>
      <c r="K19" s="11"/>
      <c r="L19" s="11"/>
      <c r="M19" s="11"/>
    </row>
    <row r="20">
      <c r="A20" s="7">
        <v>19.0</v>
      </c>
      <c r="B20" s="7" t="s">
        <v>35</v>
      </c>
      <c r="C20" s="28" t="s">
        <v>42</v>
      </c>
      <c r="D20" s="9">
        <v>2.0</v>
      </c>
      <c r="E20" s="9">
        <f t="shared" si="5"/>
        <v>12</v>
      </c>
      <c r="F20" s="9">
        <v>5.0</v>
      </c>
      <c r="G20" s="9">
        <v>2.0</v>
      </c>
      <c r="H20" s="9">
        <v>0.0</v>
      </c>
      <c r="I20" s="9" t="s">
        <v>37</v>
      </c>
      <c r="J20" s="10">
        <f t="shared" si="6"/>
        <v>5</v>
      </c>
      <c r="K20" s="11"/>
      <c r="L20" s="11"/>
      <c r="M20" s="11"/>
    </row>
    <row r="21">
      <c r="A21" s="7">
        <v>20.0</v>
      </c>
      <c r="B21" s="7" t="s">
        <v>35</v>
      </c>
      <c r="C21" s="28" t="s">
        <v>42</v>
      </c>
      <c r="D21" s="9">
        <v>5.0</v>
      </c>
      <c r="E21" s="9">
        <f t="shared" si="5"/>
        <v>15</v>
      </c>
      <c r="F21" s="9">
        <v>25.0</v>
      </c>
      <c r="G21" s="9">
        <v>13.0</v>
      </c>
      <c r="H21" s="9">
        <v>7.0</v>
      </c>
      <c r="I21" s="9" t="s">
        <v>37</v>
      </c>
      <c r="J21" s="10">
        <f t="shared" si="6"/>
        <v>36</v>
      </c>
      <c r="K21" s="11"/>
      <c r="L21" s="11"/>
      <c r="M21" s="11"/>
    </row>
    <row r="22">
      <c r="A22" s="7">
        <v>21.0</v>
      </c>
      <c r="B22" s="7" t="s">
        <v>43</v>
      </c>
      <c r="C22" s="32" t="s">
        <v>44</v>
      </c>
      <c r="D22" s="9">
        <v>1.0</v>
      </c>
      <c r="E22" s="9">
        <v>6.0</v>
      </c>
      <c r="F22" s="9">
        <v>4.0</v>
      </c>
      <c r="G22" s="9">
        <v>0.0</v>
      </c>
      <c r="H22" s="9">
        <v>1.0</v>
      </c>
      <c r="I22" s="9" t="s">
        <v>37</v>
      </c>
      <c r="J22" s="10">
        <f t="shared" si="6"/>
        <v>4</v>
      </c>
      <c r="K22" s="11"/>
      <c r="L22" s="9">
        <v>1.0</v>
      </c>
      <c r="M22" s="11"/>
    </row>
    <row r="23">
      <c r="A23" s="7">
        <v>22.0</v>
      </c>
      <c r="B23" s="7" t="s">
        <v>43</v>
      </c>
      <c r="C23" s="32" t="s">
        <v>44</v>
      </c>
      <c r="D23" s="9">
        <v>2.0</v>
      </c>
      <c r="E23" s="9">
        <v>8.0</v>
      </c>
      <c r="F23" s="9">
        <v>5.0</v>
      </c>
      <c r="G23" s="9">
        <v>1.0</v>
      </c>
      <c r="H23" s="9">
        <v>1.0</v>
      </c>
      <c r="I23" s="9" t="s">
        <v>37</v>
      </c>
      <c r="J23" s="10">
        <f t="shared" si="6"/>
        <v>5</v>
      </c>
      <c r="K23" s="11"/>
      <c r="L23" s="9">
        <v>2.0</v>
      </c>
      <c r="M23" s="11"/>
    </row>
    <row r="24">
      <c r="A24" s="7">
        <v>23.0</v>
      </c>
      <c r="B24" s="7" t="s">
        <v>43</v>
      </c>
      <c r="C24" s="32" t="s">
        <v>44</v>
      </c>
      <c r="D24" s="9">
        <v>3.0</v>
      </c>
      <c r="E24" s="9">
        <v>12.0</v>
      </c>
      <c r="F24" s="9">
        <v>12.0</v>
      </c>
      <c r="G24" s="9">
        <v>2.0</v>
      </c>
      <c r="H24" s="9">
        <v>3.0</v>
      </c>
      <c r="I24" s="9" t="s">
        <v>37</v>
      </c>
      <c r="J24" s="10">
        <f t="shared" si="6"/>
        <v>13</v>
      </c>
      <c r="K24" s="11"/>
      <c r="L24" s="9">
        <v>3.0</v>
      </c>
      <c r="M24" s="11"/>
    </row>
    <row r="25">
      <c r="A25" s="7">
        <v>24.0</v>
      </c>
      <c r="B25" s="7" t="s">
        <v>43</v>
      </c>
      <c r="C25" s="32" t="s">
        <v>45</v>
      </c>
      <c r="D25" s="9">
        <v>1.0</v>
      </c>
      <c r="E25" s="9">
        <v>6.0</v>
      </c>
      <c r="F25" s="9">
        <v>6.0</v>
      </c>
      <c r="G25" s="9">
        <v>0.0</v>
      </c>
      <c r="H25" s="9">
        <v>0.0</v>
      </c>
      <c r="I25" s="9" t="s">
        <v>37</v>
      </c>
      <c r="J25" s="10">
        <f t="shared" si="6"/>
        <v>4</v>
      </c>
      <c r="K25" s="11"/>
      <c r="L25" s="9">
        <v>1.0</v>
      </c>
      <c r="M25" s="11"/>
    </row>
    <row r="26">
      <c r="A26" s="7">
        <v>25.0</v>
      </c>
      <c r="B26" s="7" t="s">
        <v>43</v>
      </c>
      <c r="C26" s="32" t="s">
        <v>45</v>
      </c>
      <c r="D26" s="9">
        <v>2.0</v>
      </c>
      <c r="E26" s="9">
        <v>8.0</v>
      </c>
      <c r="F26" s="9">
        <v>9.0</v>
      </c>
      <c r="G26" s="9">
        <v>0.0</v>
      </c>
      <c r="H26" s="9">
        <v>1.0</v>
      </c>
      <c r="I26" s="9" t="s">
        <v>37</v>
      </c>
      <c r="J26" s="10">
        <f t="shared" si="6"/>
        <v>8</v>
      </c>
      <c r="K26" s="11"/>
      <c r="L26" s="9">
        <v>2.0</v>
      </c>
      <c r="M26" s="11"/>
    </row>
    <row r="27">
      <c r="A27" s="7">
        <v>26.0</v>
      </c>
      <c r="B27" s="7" t="s">
        <v>43</v>
      </c>
      <c r="C27" s="32" t="s">
        <v>45</v>
      </c>
      <c r="D27" s="9">
        <v>3.0</v>
      </c>
      <c r="E27" s="9">
        <v>12.0</v>
      </c>
      <c r="F27" s="9">
        <v>16.0</v>
      </c>
      <c r="G27" s="9">
        <v>1.0</v>
      </c>
      <c r="H27" s="9">
        <v>3.0</v>
      </c>
      <c r="I27" s="9" t="s">
        <v>37</v>
      </c>
      <c r="J27" s="10">
        <f t="shared" si="6"/>
        <v>16</v>
      </c>
      <c r="K27" s="11"/>
      <c r="L27" s="9">
        <v>3.0</v>
      </c>
      <c r="M27" s="11"/>
    </row>
    <row r="28">
      <c r="A28" s="7">
        <v>27.0</v>
      </c>
      <c r="B28" s="7" t="s">
        <v>43</v>
      </c>
      <c r="C28" s="32" t="s">
        <v>46</v>
      </c>
      <c r="D28" s="9">
        <v>1.0</v>
      </c>
      <c r="E28" s="9">
        <v>6.0</v>
      </c>
      <c r="F28" s="9">
        <v>1.0</v>
      </c>
      <c r="G28" s="9">
        <v>1.0</v>
      </c>
      <c r="H28" s="9">
        <v>4.0</v>
      </c>
      <c r="I28" s="9" t="s">
        <v>37</v>
      </c>
      <c r="J28" s="10">
        <f t="shared" si="6"/>
        <v>4</v>
      </c>
      <c r="K28" s="11"/>
      <c r="L28" s="9">
        <v>1.0</v>
      </c>
      <c r="M28" s="11"/>
    </row>
    <row r="29">
      <c r="A29" s="7">
        <v>28.0</v>
      </c>
      <c r="B29" s="7" t="s">
        <v>43</v>
      </c>
      <c r="C29" s="32" t="s">
        <v>46</v>
      </c>
      <c r="D29" s="9">
        <v>2.0</v>
      </c>
      <c r="E29" s="9">
        <v>8.0</v>
      </c>
      <c r="F29" s="9">
        <v>2.0</v>
      </c>
      <c r="G29" s="9">
        <v>2.0</v>
      </c>
      <c r="H29" s="9">
        <v>8.0</v>
      </c>
      <c r="I29" s="9" t="s">
        <v>37</v>
      </c>
      <c r="J29" s="10">
        <f t="shared" si="6"/>
        <v>9</v>
      </c>
      <c r="K29" s="11"/>
      <c r="L29" s="9">
        <v>2.0</v>
      </c>
      <c r="M29" s="11"/>
    </row>
    <row r="30">
      <c r="A30" s="7">
        <v>29.0</v>
      </c>
      <c r="B30" s="7" t="s">
        <v>43</v>
      </c>
      <c r="C30" s="32" t="s">
        <v>47</v>
      </c>
      <c r="D30" s="9">
        <v>3.0</v>
      </c>
      <c r="E30" s="9">
        <v>12.0</v>
      </c>
      <c r="F30" s="9">
        <v>6.0</v>
      </c>
      <c r="G30" s="9">
        <v>5.0</v>
      </c>
      <c r="H30" s="9">
        <v>15.0</v>
      </c>
      <c r="I30" s="9" t="s">
        <v>37</v>
      </c>
      <c r="J30" s="10">
        <f t="shared" si="6"/>
        <v>20</v>
      </c>
      <c r="K30" s="11"/>
      <c r="L30" s="9">
        <v>3.0</v>
      </c>
      <c r="M30" s="11"/>
    </row>
    <row r="31">
      <c r="A31" s="7">
        <v>30.0</v>
      </c>
      <c r="B31" s="7" t="s">
        <v>48</v>
      </c>
      <c r="C31" s="14" t="s">
        <v>49</v>
      </c>
      <c r="D31" s="9">
        <v>1.0</v>
      </c>
      <c r="E31" s="9">
        <f t="shared" ref="E31:E35" si="7">_xlfn.FLOOR.MATH(1.5*E22)</f>
        <v>9</v>
      </c>
      <c r="F31" s="9">
        <v>0.0</v>
      </c>
      <c r="G31" s="9">
        <v>1.0</v>
      </c>
      <c r="H31" s="9">
        <v>4.0</v>
      </c>
      <c r="I31" s="29">
        <f t="shared" ref="I31:I41" si="8">_xlfn.FLOOR.MATH($P$5*$P$3*SUM(F31:H31))</f>
        <v>12</v>
      </c>
      <c r="J31" s="10">
        <f t="shared" si="6"/>
        <v>4</v>
      </c>
      <c r="K31" s="11"/>
      <c r="L31" s="11"/>
      <c r="M31" s="9">
        <v>1.0</v>
      </c>
    </row>
    <row r="32">
      <c r="A32" s="7">
        <v>31.0</v>
      </c>
      <c r="B32" s="7" t="s">
        <v>48</v>
      </c>
      <c r="C32" s="14" t="s">
        <v>49</v>
      </c>
      <c r="D32" s="9">
        <v>2.0</v>
      </c>
      <c r="E32" s="9">
        <f t="shared" si="7"/>
        <v>12</v>
      </c>
      <c r="F32" s="9">
        <v>0.0</v>
      </c>
      <c r="G32" s="9">
        <v>2.0</v>
      </c>
      <c r="H32" s="9">
        <v>7.0</v>
      </c>
      <c r="I32" s="29">
        <f t="shared" si="8"/>
        <v>21</v>
      </c>
      <c r="J32" s="10">
        <f t="shared" si="6"/>
        <v>7</v>
      </c>
      <c r="K32" s="11"/>
      <c r="L32" s="11"/>
      <c r="M32" s="9">
        <v>2.0</v>
      </c>
    </row>
    <row r="33">
      <c r="A33" s="7">
        <v>32.0</v>
      </c>
      <c r="B33" s="7" t="s">
        <v>48</v>
      </c>
      <c r="C33" s="14" t="s">
        <v>49</v>
      </c>
      <c r="D33" s="9">
        <v>3.0</v>
      </c>
      <c r="E33" s="9">
        <f t="shared" si="7"/>
        <v>18</v>
      </c>
      <c r="F33" s="9">
        <v>7.0</v>
      </c>
      <c r="G33" s="9">
        <v>3.0</v>
      </c>
      <c r="H33" s="9">
        <v>12.0</v>
      </c>
      <c r="I33" s="29">
        <f t="shared" si="8"/>
        <v>52</v>
      </c>
      <c r="J33" s="10">
        <f t="shared" si="6"/>
        <v>17</v>
      </c>
      <c r="K33" s="11"/>
      <c r="L33" s="11"/>
      <c r="M33" s="9">
        <v>3.0</v>
      </c>
    </row>
    <row r="34">
      <c r="A34" s="7">
        <v>33.0</v>
      </c>
      <c r="B34" s="7" t="s">
        <v>48</v>
      </c>
      <c r="C34" s="14" t="s">
        <v>50</v>
      </c>
      <c r="D34" s="9">
        <v>1.0</v>
      </c>
      <c r="E34" s="9">
        <f t="shared" si="7"/>
        <v>9</v>
      </c>
      <c r="F34" s="9">
        <v>0.0</v>
      </c>
      <c r="G34" s="9">
        <v>3.0</v>
      </c>
      <c r="H34" s="9">
        <v>0.0</v>
      </c>
      <c r="I34" s="29">
        <f t="shared" si="8"/>
        <v>7</v>
      </c>
      <c r="J34" s="10">
        <f t="shared" si="6"/>
        <v>2</v>
      </c>
      <c r="K34" s="11"/>
      <c r="L34" s="11"/>
      <c r="M34" s="9">
        <v>1.0</v>
      </c>
    </row>
    <row r="35">
      <c r="A35" s="7">
        <v>34.0</v>
      </c>
      <c r="B35" s="7" t="s">
        <v>48</v>
      </c>
      <c r="C35" s="14" t="s">
        <v>50</v>
      </c>
      <c r="D35" s="9">
        <v>2.0</v>
      </c>
      <c r="E35" s="9">
        <f t="shared" si="7"/>
        <v>12</v>
      </c>
      <c r="F35" s="9">
        <v>2.0</v>
      </c>
      <c r="G35" s="9">
        <v>7.0</v>
      </c>
      <c r="H35" s="9">
        <v>2.0</v>
      </c>
      <c r="I35" s="29">
        <f t="shared" si="8"/>
        <v>26</v>
      </c>
      <c r="J35" s="10">
        <f t="shared" si="6"/>
        <v>8</v>
      </c>
      <c r="K35" s="11"/>
      <c r="L35" s="11"/>
      <c r="M35" s="9">
        <v>2.0</v>
      </c>
    </row>
    <row r="36">
      <c r="A36" s="7">
        <v>35.0</v>
      </c>
      <c r="B36" s="7" t="s">
        <v>48</v>
      </c>
      <c r="C36" s="14" t="s">
        <v>51</v>
      </c>
      <c r="D36" s="9">
        <v>1.0</v>
      </c>
      <c r="E36" s="9">
        <f t="shared" ref="E36:E38" si="9">_xlfn.FLOOR.MATH(1.5*E28)</f>
        <v>9</v>
      </c>
      <c r="F36" s="9">
        <v>5.0</v>
      </c>
      <c r="G36" s="9">
        <v>0.0</v>
      </c>
      <c r="H36" s="9">
        <v>1.0</v>
      </c>
      <c r="I36" s="29">
        <f t="shared" si="8"/>
        <v>14</v>
      </c>
      <c r="J36" s="10">
        <f t="shared" si="6"/>
        <v>4</v>
      </c>
      <c r="K36" s="11"/>
      <c r="L36" s="11"/>
      <c r="M36" s="9">
        <v>1.0</v>
      </c>
    </row>
    <row r="37">
      <c r="A37" s="7">
        <v>36.0</v>
      </c>
      <c r="B37" s="7" t="s">
        <v>48</v>
      </c>
      <c r="C37" s="14" t="s">
        <v>51</v>
      </c>
      <c r="D37" s="9">
        <v>2.0</v>
      </c>
      <c r="E37" s="9">
        <f t="shared" si="9"/>
        <v>12</v>
      </c>
      <c r="F37" s="9">
        <v>8.0</v>
      </c>
      <c r="G37" s="9">
        <v>1.0</v>
      </c>
      <c r="H37" s="9">
        <v>2.0</v>
      </c>
      <c r="I37" s="29">
        <f t="shared" si="8"/>
        <v>26</v>
      </c>
      <c r="J37" s="10">
        <f t="shared" si="6"/>
        <v>8</v>
      </c>
      <c r="K37" s="11"/>
      <c r="L37" s="11"/>
      <c r="M37" s="9">
        <v>2.0</v>
      </c>
    </row>
    <row r="38">
      <c r="A38" s="7">
        <v>37.0</v>
      </c>
      <c r="B38" s="7" t="s">
        <v>48</v>
      </c>
      <c r="C38" s="14" t="s">
        <v>51</v>
      </c>
      <c r="D38" s="9">
        <v>3.0</v>
      </c>
      <c r="E38" s="9">
        <f t="shared" si="9"/>
        <v>18</v>
      </c>
      <c r="F38" s="9">
        <v>11.0</v>
      </c>
      <c r="G38" s="9">
        <v>5.0</v>
      </c>
      <c r="H38" s="9">
        <v>7.0</v>
      </c>
      <c r="I38" s="29">
        <f t="shared" si="8"/>
        <v>55</v>
      </c>
      <c r="J38" s="10">
        <f t="shared" si="6"/>
        <v>18</v>
      </c>
      <c r="K38" s="11"/>
      <c r="L38" s="11"/>
      <c r="M38" s="9">
        <v>3.0</v>
      </c>
    </row>
    <row r="39">
      <c r="A39" s="7">
        <v>38.0</v>
      </c>
      <c r="B39" s="7" t="s">
        <v>52</v>
      </c>
      <c r="C39" s="28" t="s">
        <v>53</v>
      </c>
      <c r="D39" s="9">
        <v>1.0</v>
      </c>
      <c r="E39" s="9">
        <v>10.0</v>
      </c>
      <c r="F39" s="9">
        <v>1.0</v>
      </c>
      <c r="G39" s="9">
        <v>0.0</v>
      </c>
      <c r="H39" s="9">
        <v>3.0</v>
      </c>
      <c r="I39" s="29">
        <f t="shared" si="8"/>
        <v>9</v>
      </c>
      <c r="J39" s="10">
        <f t="shared" si="6"/>
        <v>3</v>
      </c>
      <c r="K39" s="9">
        <v>1.0</v>
      </c>
      <c r="M39" s="11"/>
      <c r="N39" s="7" t="s">
        <v>54</v>
      </c>
    </row>
    <row r="40">
      <c r="A40" s="7">
        <v>39.0</v>
      </c>
      <c r="B40" s="7" t="s">
        <v>52</v>
      </c>
      <c r="C40" s="28" t="s">
        <v>55</v>
      </c>
      <c r="D40" s="9">
        <v>2.0</v>
      </c>
      <c r="E40" s="9">
        <v>15.0</v>
      </c>
      <c r="F40" s="9">
        <v>3.0</v>
      </c>
      <c r="G40" s="9">
        <v>1.0</v>
      </c>
      <c r="H40" s="9">
        <v>8.0</v>
      </c>
      <c r="I40" s="29">
        <f t="shared" si="8"/>
        <v>28</v>
      </c>
      <c r="J40" s="10">
        <f t="shared" si="6"/>
        <v>9</v>
      </c>
      <c r="K40" s="9">
        <v>2.0</v>
      </c>
      <c r="M40" s="11"/>
      <c r="N40" s="7" t="s">
        <v>56</v>
      </c>
    </row>
    <row r="41">
      <c r="A41" s="7">
        <v>40.0</v>
      </c>
      <c r="B41" s="7" t="s">
        <v>52</v>
      </c>
      <c r="C41" s="28" t="s">
        <v>57</v>
      </c>
      <c r="D41" s="9">
        <v>3.0</v>
      </c>
      <c r="E41" s="9">
        <v>20.0</v>
      </c>
      <c r="F41" s="9">
        <v>12.0</v>
      </c>
      <c r="G41" s="9">
        <v>2.0</v>
      </c>
      <c r="H41" s="9">
        <v>6.0</v>
      </c>
      <c r="I41" s="29">
        <f t="shared" si="8"/>
        <v>48</v>
      </c>
      <c r="J41" s="10">
        <f t="shared" si="6"/>
        <v>16</v>
      </c>
      <c r="K41" s="9">
        <v>3.0</v>
      </c>
      <c r="M41" s="11"/>
      <c r="N41" s="7" t="s">
        <v>58</v>
      </c>
    </row>
    <row r="42">
      <c r="A42" s="7">
        <v>41.0</v>
      </c>
      <c r="B42" s="7" t="s">
        <v>59</v>
      </c>
      <c r="C42" s="33" t="s">
        <v>60</v>
      </c>
      <c r="D42" s="9">
        <v>1.0</v>
      </c>
      <c r="E42" s="11">
        <f t="shared" ref="E42:E46" si="10">$P$8*2 -2</f>
        <v>8</v>
      </c>
      <c r="F42" s="9" t="s">
        <v>37</v>
      </c>
      <c r="G42" s="9" t="s">
        <v>37</v>
      </c>
      <c r="H42" s="9" t="s">
        <v>37</v>
      </c>
      <c r="I42" s="9" t="s">
        <v>37</v>
      </c>
      <c r="J42" s="11">
        <f t="shared" ref="J42:J46" si="11">D42*E42*$P$17</f>
        <v>22.4</v>
      </c>
      <c r="K42" s="11"/>
      <c r="N42" s="7" t="s">
        <v>61</v>
      </c>
      <c r="O42" s="11"/>
    </row>
    <row r="43">
      <c r="A43" s="7">
        <v>42.0</v>
      </c>
      <c r="B43" s="7" t="s">
        <v>59</v>
      </c>
      <c r="C43" s="33" t="s">
        <v>60</v>
      </c>
      <c r="D43" s="9">
        <v>2.0</v>
      </c>
      <c r="E43" s="11">
        <f t="shared" si="10"/>
        <v>8</v>
      </c>
      <c r="F43" s="9" t="s">
        <v>37</v>
      </c>
      <c r="G43" s="9" t="s">
        <v>37</v>
      </c>
      <c r="H43" s="9" t="s">
        <v>37</v>
      </c>
      <c r="I43" s="9" t="s">
        <v>37</v>
      </c>
      <c r="J43" s="11">
        <f t="shared" si="11"/>
        <v>44.8</v>
      </c>
      <c r="K43" s="11"/>
      <c r="N43" s="7" t="s">
        <v>62</v>
      </c>
      <c r="O43" s="11"/>
    </row>
    <row r="44">
      <c r="A44" s="7">
        <v>43.0</v>
      </c>
      <c r="B44" s="7" t="s">
        <v>59</v>
      </c>
      <c r="C44" s="33" t="s">
        <v>60</v>
      </c>
      <c r="D44" s="9">
        <v>3.0</v>
      </c>
      <c r="E44" s="11">
        <f t="shared" si="10"/>
        <v>8</v>
      </c>
      <c r="F44" s="9" t="s">
        <v>37</v>
      </c>
      <c r="G44" s="9" t="s">
        <v>37</v>
      </c>
      <c r="H44" s="9" t="s">
        <v>37</v>
      </c>
      <c r="I44" s="9" t="s">
        <v>37</v>
      </c>
      <c r="J44" s="11">
        <f t="shared" si="11"/>
        <v>67.2</v>
      </c>
      <c r="K44" s="11"/>
      <c r="N44" s="7" t="s">
        <v>63</v>
      </c>
      <c r="O44" s="11"/>
    </row>
    <row r="45">
      <c r="A45" s="7">
        <v>44.0</v>
      </c>
      <c r="B45" s="7" t="s">
        <v>59</v>
      </c>
      <c r="C45" s="33" t="s">
        <v>60</v>
      </c>
      <c r="D45" s="9">
        <v>4.0</v>
      </c>
      <c r="E45" s="11">
        <f t="shared" si="10"/>
        <v>8</v>
      </c>
      <c r="F45" s="9" t="s">
        <v>37</v>
      </c>
      <c r="G45" s="9" t="s">
        <v>37</v>
      </c>
      <c r="H45" s="9" t="s">
        <v>37</v>
      </c>
      <c r="I45" s="9" t="s">
        <v>37</v>
      </c>
      <c r="J45" s="11">
        <f t="shared" si="11"/>
        <v>89.6</v>
      </c>
      <c r="K45" s="11"/>
      <c r="N45" s="7" t="s">
        <v>64</v>
      </c>
      <c r="O45" s="11"/>
    </row>
    <row r="46">
      <c r="A46" s="7">
        <v>45.0</v>
      </c>
      <c r="B46" s="7" t="s">
        <v>59</v>
      </c>
      <c r="C46" s="33" t="s">
        <v>60</v>
      </c>
      <c r="D46" s="9">
        <v>5.0</v>
      </c>
      <c r="E46" s="11">
        <f t="shared" si="10"/>
        <v>8</v>
      </c>
      <c r="F46" s="9" t="s">
        <v>37</v>
      </c>
      <c r="G46" s="9" t="s">
        <v>37</v>
      </c>
      <c r="H46" s="9" t="s">
        <v>37</v>
      </c>
      <c r="I46" s="9" t="s">
        <v>37</v>
      </c>
      <c r="J46" s="11">
        <f t="shared" si="11"/>
        <v>112</v>
      </c>
      <c r="K46" s="11"/>
      <c r="N46" s="7" t="s">
        <v>65</v>
      </c>
      <c r="O46" s="11"/>
    </row>
    <row r="47">
      <c r="A47" s="7">
        <v>46.0</v>
      </c>
      <c r="B47" s="7" t="s">
        <v>66</v>
      </c>
      <c r="C47" s="32" t="s">
        <v>67</v>
      </c>
      <c r="D47" s="9">
        <v>2.0</v>
      </c>
      <c r="E47" s="9">
        <f>$P$8/2</f>
        <v>2.5</v>
      </c>
      <c r="F47" s="9" t="s">
        <v>37</v>
      </c>
      <c r="G47" s="9" t="s">
        <v>37</v>
      </c>
      <c r="H47" s="9" t="s">
        <v>37</v>
      </c>
      <c r="I47" s="11">
        <f t="shared" ref="I47:I61" si="12">_xlfn.FLOOR.MATH(D47*$P$15*($P$14^D47))</f>
        <v>2</v>
      </c>
      <c r="J47" s="11">
        <f t="shared" ref="J47:J61" si="13">_xlfn.FLOOR.MATH($P$6*I47)</f>
        <v>1</v>
      </c>
      <c r="K47" s="11"/>
      <c r="L47" s="11"/>
      <c r="M47" s="11"/>
    </row>
    <row r="48">
      <c r="A48" s="7">
        <v>47.0</v>
      </c>
      <c r="B48" s="7" t="s">
        <v>66</v>
      </c>
      <c r="C48" s="32" t="s">
        <v>68</v>
      </c>
      <c r="D48" s="9">
        <v>3.0</v>
      </c>
      <c r="E48" s="9">
        <v>2.0</v>
      </c>
      <c r="F48" s="9" t="s">
        <v>37</v>
      </c>
      <c r="G48" s="9" t="s">
        <v>37</v>
      </c>
      <c r="H48" s="9" t="s">
        <v>37</v>
      </c>
      <c r="I48" s="11">
        <f t="shared" si="12"/>
        <v>5</v>
      </c>
      <c r="J48" s="11">
        <f t="shared" si="13"/>
        <v>4</v>
      </c>
      <c r="K48" s="11"/>
      <c r="L48" s="11"/>
      <c r="M48" s="11"/>
    </row>
    <row r="49">
      <c r="A49" s="7">
        <v>48.0</v>
      </c>
      <c r="B49" s="7" t="s">
        <v>66</v>
      </c>
      <c r="C49" s="32" t="s">
        <v>69</v>
      </c>
      <c r="D49" s="9">
        <v>5.0</v>
      </c>
      <c r="E49" s="9">
        <f>$P$8/2</f>
        <v>2.5</v>
      </c>
      <c r="F49" s="9" t="s">
        <v>37</v>
      </c>
      <c r="G49" s="9" t="s">
        <v>37</v>
      </c>
      <c r="H49" s="9" t="s">
        <v>37</v>
      </c>
      <c r="I49" s="11">
        <f t="shared" si="12"/>
        <v>12</v>
      </c>
      <c r="J49" s="11">
        <f t="shared" si="13"/>
        <v>9</v>
      </c>
      <c r="K49" s="11"/>
      <c r="L49" s="11"/>
      <c r="M49" s="11"/>
    </row>
    <row r="50">
      <c r="A50" s="7">
        <v>49.0</v>
      </c>
      <c r="B50" s="7" t="s">
        <v>66</v>
      </c>
      <c r="C50" s="32" t="s">
        <v>70</v>
      </c>
      <c r="D50" s="9">
        <v>6.0</v>
      </c>
      <c r="E50" s="11">
        <f>$P$8</f>
        <v>5</v>
      </c>
      <c r="F50" s="9" t="s">
        <v>37</v>
      </c>
      <c r="G50" s="9" t="s">
        <v>37</v>
      </c>
      <c r="H50" s="9" t="s">
        <v>37</v>
      </c>
      <c r="I50" s="11">
        <f t="shared" si="12"/>
        <v>17</v>
      </c>
      <c r="J50" s="11">
        <f t="shared" si="13"/>
        <v>13</v>
      </c>
      <c r="K50" s="11"/>
      <c r="L50" s="11"/>
      <c r="M50" s="11"/>
    </row>
    <row r="51">
      <c r="A51" s="7">
        <v>50.0</v>
      </c>
      <c r="B51" s="7" t="s">
        <v>66</v>
      </c>
      <c r="C51" s="32" t="s">
        <v>71</v>
      </c>
      <c r="D51" s="9">
        <v>8.0</v>
      </c>
      <c r="E51" s="9">
        <v>1.0</v>
      </c>
      <c r="F51" s="9" t="s">
        <v>37</v>
      </c>
      <c r="G51" s="9" t="s">
        <v>37</v>
      </c>
      <c r="H51" s="9" t="s">
        <v>37</v>
      </c>
      <c r="I51" s="11">
        <f t="shared" si="12"/>
        <v>34</v>
      </c>
      <c r="J51" s="11">
        <f t="shared" si="13"/>
        <v>27</v>
      </c>
      <c r="K51" s="11"/>
      <c r="L51" s="11"/>
      <c r="M51" s="11"/>
    </row>
    <row r="52">
      <c r="A52" s="7">
        <v>51.0</v>
      </c>
      <c r="B52" s="7" t="s">
        <v>66</v>
      </c>
      <c r="C52" s="32" t="s">
        <v>72</v>
      </c>
      <c r="D52" s="9">
        <v>8.0</v>
      </c>
      <c r="E52" s="9">
        <v>2.0</v>
      </c>
      <c r="F52" s="9" t="s">
        <v>37</v>
      </c>
      <c r="G52" s="9" t="s">
        <v>37</v>
      </c>
      <c r="H52" s="9" t="s">
        <v>37</v>
      </c>
      <c r="I52" s="11">
        <f t="shared" si="12"/>
        <v>34</v>
      </c>
      <c r="J52" s="11">
        <f t="shared" si="13"/>
        <v>27</v>
      </c>
      <c r="K52" s="11"/>
      <c r="L52" s="11"/>
      <c r="M52" s="11"/>
    </row>
    <row r="53">
      <c r="A53" s="7">
        <v>52.0</v>
      </c>
      <c r="B53" s="7" t="s">
        <v>66</v>
      </c>
      <c r="C53" s="32" t="s">
        <v>73</v>
      </c>
      <c r="D53" s="9">
        <v>8.0</v>
      </c>
      <c r="E53" s="9">
        <v>1.0</v>
      </c>
      <c r="F53" s="9" t="s">
        <v>37</v>
      </c>
      <c r="G53" s="9" t="s">
        <v>37</v>
      </c>
      <c r="H53" s="9" t="s">
        <v>37</v>
      </c>
      <c r="I53" s="11">
        <f t="shared" si="12"/>
        <v>34</v>
      </c>
      <c r="J53" s="11">
        <f t="shared" si="13"/>
        <v>27</v>
      </c>
      <c r="K53" s="11"/>
      <c r="L53" s="11"/>
      <c r="M53" s="11"/>
    </row>
    <row r="54">
      <c r="A54" s="7">
        <v>53.0</v>
      </c>
      <c r="B54" s="13" t="s">
        <v>66</v>
      </c>
      <c r="C54" s="34" t="s">
        <v>74</v>
      </c>
      <c r="D54" s="21">
        <v>8.0</v>
      </c>
      <c r="E54" s="16">
        <v>1.0</v>
      </c>
      <c r="F54" s="9" t="s">
        <v>37</v>
      </c>
      <c r="G54" s="9" t="s">
        <v>37</v>
      </c>
      <c r="H54" s="9" t="s">
        <v>37</v>
      </c>
      <c r="I54" s="35">
        <f t="shared" si="12"/>
        <v>34</v>
      </c>
      <c r="J54" s="35">
        <f t="shared" si="13"/>
        <v>27</v>
      </c>
      <c r="K54" s="11"/>
      <c r="L54" s="11"/>
      <c r="M54" s="11"/>
    </row>
    <row r="55">
      <c r="A55" s="7">
        <v>54.0</v>
      </c>
      <c r="B55" s="13" t="s">
        <v>66</v>
      </c>
      <c r="C55" s="34" t="s">
        <v>75</v>
      </c>
      <c r="D55" s="17">
        <v>9.0</v>
      </c>
      <c r="E55" s="16">
        <v>1.0</v>
      </c>
      <c r="F55" s="9" t="s">
        <v>37</v>
      </c>
      <c r="G55" s="9" t="s">
        <v>37</v>
      </c>
      <c r="H55" s="9" t="s">
        <v>37</v>
      </c>
      <c r="I55" s="35">
        <f t="shared" si="12"/>
        <v>46</v>
      </c>
      <c r="J55" s="35">
        <f t="shared" si="13"/>
        <v>36</v>
      </c>
      <c r="K55" s="11"/>
      <c r="L55" s="11"/>
      <c r="M55" s="11"/>
    </row>
    <row r="56">
      <c r="A56" s="7">
        <v>55.0</v>
      </c>
      <c r="B56" s="13" t="s">
        <v>66</v>
      </c>
      <c r="C56" s="32" t="s">
        <v>76</v>
      </c>
      <c r="D56" s="17">
        <v>9.0</v>
      </c>
      <c r="E56" s="16">
        <v>1.0</v>
      </c>
      <c r="F56" s="9" t="s">
        <v>37</v>
      </c>
      <c r="G56" s="9" t="s">
        <v>37</v>
      </c>
      <c r="H56" s="9" t="s">
        <v>37</v>
      </c>
      <c r="I56" s="35">
        <f t="shared" si="12"/>
        <v>46</v>
      </c>
      <c r="J56" s="35">
        <f t="shared" si="13"/>
        <v>36</v>
      </c>
      <c r="K56" s="11"/>
      <c r="L56" s="11"/>
      <c r="M56" s="11"/>
    </row>
    <row r="57">
      <c r="A57" s="7">
        <v>56.0</v>
      </c>
      <c r="B57" s="7" t="s">
        <v>66</v>
      </c>
      <c r="C57" s="32" t="s">
        <v>77</v>
      </c>
      <c r="D57" s="9">
        <v>9.0</v>
      </c>
      <c r="E57" s="9">
        <v>2.0</v>
      </c>
      <c r="F57" s="9" t="s">
        <v>37</v>
      </c>
      <c r="G57" s="9" t="s">
        <v>37</v>
      </c>
      <c r="H57" s="9" t="s">
        <v>37</v>
      </c>
      <c r="I57" s="11">
        <f t="shared" si="12"/>
        <v>46</v>
      </c>
      <c r="J57" s="11">
        <f t="shared" si="13"/>
        <v>36</v>
      </c>
      <c r="K57" s="11"/>
      <c r="L57" s="11"/>
      <c r="M57" s="11"/>
    </row>
    <row r="58">
      <c r="A58" s="7">
        <v>57.0</v>
      </c>
      <c r="B58" s="7" t="s">
        <v>66</v>
      </c>
      <c r="C58" s="32" t="s">
        <v>78</v>
      </c>
      <c r="D58" s="9">
        <v>11.0</v>
      </c>
      <c r="E58" s="9">
        <v>2.0</v>
      </c>
      <c r="F58" s="9" t="s">
        <v>37</v>
      </c>
      <c r="G58" s="9" t="s">
        <v>37</v>
      </c>
      <c r="H58" s="9" t="s">
        <v>37</v>
      </c>
      <c r="I58" s="11">
        <f t="shared" si="12"/>
        <v>81</v>
      </c>
      <c r="J58" s="11">
        <f t="shared" si="13"/>
        <v>64</v>
      </c>
      <c r="K58" s="11"/>
      <c r="L58" s="11"/>
      <c r="M58" s="11"/>
    </row>
    <row r="59">
      <c r="A59" s="7">
        <v>58.0</v>
      </c>
      <c r="B59" s="7" t="s">
        <v>66</v>
      </c>
      <c r="C59" s="32" t="s">
        <v>79</v>
      </c>
      <c r="D59" s="9">
        <v>12.0</v>
      </c>
      <c r="E59" s="9">
        <v>1.0</v>
      </c>
      <c r="F59" s="9" t="s">
        <v>37</v>
      </c>
      <c r="G59" s="9" t="s">
        <v>37</v>
      </c>
      <c r="H59" s="9" t="s">
        <v>37</v>
      </c>
      <c r="I59" s="11">
        <f t="shared" si="12"/>
        <v>106</v>
      </c>
      <c r="J59" s="11">
        <f t="shared" si="13"/>
        <v>84</v>
      </c>
      <c r="K59" s="11"/>
      <c r="L59" s="11"/>
      <c r="M59" s="11"/>
    </row>
    <row r="60">
      <c r="A60" s="7">
        <v>59.0</v>
      </c>
      <c r="B60" s="7" t="s">
        <v>66</v>
      </c>
      <c r="C60" s="32" t="s">
        <v>80</v>
      </c>
      <c r="D60" s="9">
        <v>12.0</v>
      </c>
      <c r="E60" s="9">
        <v>1.0</v>
      </c>
      <c r="F60" s="9" t="s">
        <v>37</v>
      </c>
      <c r="G60" s="9" t="s">
        <v>37</v>
      </c>
      <c r="H60" s="9" t="s">
        <v>37</v>
      </c>
      <c r="I60" s="11">
        <f t="shared" si="12"/>
        <v>106</v>
      </c>
      <c r="J60" s="11">
        <f t="shared" si="13"/>
        <v>84</v>
      </c>
      <c r="K60" s="11"/>
      <c r="L60" s="11"/>
      <c r="M60" s="11"/>
    </row>
    <row r="61">
      <c r="A61" s="7">
        <v>60.0</v>
      </c>
      <c r="B61" s="7" t="s">
        <v>66</v>
      </c>
      <c r="C61" s="32" t="s">
        <v>81</v>
      </c>
      <c r="D61" s="9">
        <v>12.0</v>
      </c>
      <c r="E61" s="9">
        <v>1.0</v>
      </c>
      <c r="F61" s="9" t="s">
        <v>37</v>
      </c>
      <c r="G61" s="9" t="s">
        <v>37</v>
      </c>
      <c r="H61" s="9" t="s">
        <v>37</v>
      </c>
      <c r="I61" s="11">
        <f t="shared" si="12"/>
        <v>106</v>
      </c>
      <c r="J61" s="11">
        <f t="shared" si="13"/>
        <v>84</v>
      </c>
      <c r="K61" s="11"/>
      <c r="L61" s="11"/>
      <c r="M61" s="11"/>
    </row>
  </sheetData>
  <dataValidations>
    <dataValidation type="list" allowBlank="1" showErrorMessage="1" sqref="B2:B61">
      <formula1>"Zbraň,Obrana,Hangár,Nákladní prostor,Pohon,Surovina,Modul,Jiné,Loď"</formula1>
    </dataValidation>
  </dataValidations>
  <drawing r:id="rId1"/>
</worksheet>
</file>